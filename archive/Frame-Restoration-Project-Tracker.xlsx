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lcome" sheetId="1" state="visible" r:id="rId3"/>
    <sheet name="What I Need From You" sheetId="2" state="visible" r:id="rId4"/>
    <sheet name="Project Phases" sheetId="3" state="visible" r:id="rId5"/>
    <sheet name="Page Photos &amp; Content" sheetId="4" state="visible" r:id="rId6"/>
    <sheet name="Brand &amp; Blog Direction" sheetId="5" state="visible" r:id="rId7"/>
    <sheet name="Progres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<sst xmlns="http://schemas.openxmlformats.org/spreadsheetml/2006/main" count="783" uniqueCount="537">
  <si>
    <t xml:space="preserve">FRAME RESTORATION UTAH</t>
  </si>
  <si>
    <t xml:space="preserve">Website Project Tracker</t>
  </si>
  <si>
    <t xml:space="preserve">Project:</t>
  </si>
  <si>
    <t xml:space="preserve">Frame Restoration Utah — Full Website Build</t>
  </si>
  <si>
    <t xml:space="preserve">Website:</t>
  </si>
  <si>
    <t xml:space="preserve">frame-restoration-utah.vercel.app</t>
  </si>
  <si>
    <t xml:space="preserve">Total Pages:</t>
  </si>
  <si>
    <t xml:space="preserve">96 (62 Location + 16 Blog + 11 Service + Home + About + Contact + Gallery + FAQ + Careers + Privacy)</t>
  </si>
  <si>
    <t xml:space="preserve">Developer:</t>
  </si>
  <si>
    <t xml:space="preserve">Ryan Conwell</t>
  </si>
  <si>
    <t xml:space="preserve">Start Date:</t>
  </si>
  <si>
    <t xml:space="preserve">Target Launch:</t>
  </si>
  <si>
    <t xml:space="preserve">HOW TO USE THIS SHEET</t>
  </si>
  <si>
    <t xml:space="preserve">1.</t>
  </si>
  <si>
    <t xml:space="preserve">Go to the "What I Need From You" tab — these are items I need from you to keep the project moving.</t>
  </si>
  <si>
    <t xml:space="preserve">2.</t>
  </si>
  <si>
    <t xml:space="preserve">Go to the "Project Phases" tab — this shows every task and its current status.</t>
  </si>
  <si>
    <t xml:space="preserve">3.</t>
  </si>
  <si>
    <t xml:space="preserve">Check "Page Photos &amp; Content" — this is exactly what photos and text I need for each page.</t>
  </si>
  <si>
    <t xml:space="preserve">4.</t>
  </si>
  <si>
    <t xml:space="preserve">Read "Brand &amp; Blog Direction" — this is the messaging strategy for your entire site.</t>
  </si>
  <si>
    <t xml:space="preserve">5.</t>
  </si>
  <si>
    <t xml:space="preserve">Check the Status column — items marked "Waiting on Client" need your attention.</t>
  </si>
  <si>
    <t xml:space="preserve">6.</t>
  </si>
  <si>
    <t xml:space="preserve">Use the Notes column to leave me any comments or questions.</t>
  </si>
  <si>
    <t xml:space="preserve">7.</t>
  </si>
  <si>
    <t xml:space="preserve">I'll update this sheet regularly so you always know where we stand.</t>
  </si>
  <si>
    <t xml:space="preserve">STATUS KEY</t>
  </si>
  <si>
    <t xml:space="preserve">Not Started</t>
  </si>
  <si>
    <t xml:space="preserve">In Progress</t>
  </si>
  <si>
    <t xml:space="preserve">Waiting on Client</t>
  </si>
  <si>
    <t xml:space="preserve">Complete</t>
  </si>
  <si>
    <t xml:space="preserve">N/A</t>
  </si>
  <si>
    <t xml:space="preserve">WHAT I NEED FROM YOU</t>
  </si>
  <si>
    <t xml:space="preserve">These are items I need from you to build your website. Please review each item and provide what you can!</t>
  </si>
  <si>
    <t xml:space="preserve">#</t>
  </si>
  <si>
    <t xml:space="preserve">What I Need</t>
  </si>
  <si>
    <t xml:space="preserve">Details / Instructions</t>
  </si>
  <si>
    <t xml:space="preserve">Priority</t>
  </si>
  <si>
    <t xml:space="preserve">Status</t>
  </si>
  <si>
    <t xml:space="preserve">Due Date</t>
  </si>
  <si>
    <t xml:space="preserve">Your Notes</t>
  </si>
  <si>
    <t xml:space="preserve">BUSINESS INFORMATION</t>
  </si>
  <si>
    <t xml:space="preserve">Business Legal Name</t>
  </si>
  <si>
    <t xml:space="preserve">Full legal name as registered</t>
  </si>
  <si>
    <t xml:space="preserve">High</t>
  </si>
  <si>
    <t xml:space="preserve">Business Phone Number</t>
  </si>
  <si>
    <t xml:space="preserve">Main number for website contact page &amp; schema markup</t>
  </si>
  <si>
    <t xml:space="preserve">Business Email Address</t>
  </si>
  <si>
    <t xml:space="preserve">Email for contact form submissions (Formspree)</t>
  </si>
  <si>
    <t xml:space="preserve">Business Physical Address</t>
  </si>
  <si>
    <t xml:space="preserve">Full address for Google Maps embed and footer</t>
  </si>
  <si>
    <t xml:space="preserve">Service Area / Regions</t>
  </si>
  <si>
    <t xml:space="preserve">List all cities and counties you serve (currently 62 location pages)</t>
  </si>
  <si>
    <t xml:space="preserve">Business Hours</t>
  </si>
  <si>
    <t xml:space="preserve">Days &amp; hours of operation for Schema.org markup</t>
  </si>
  <si>
    <t xml:space="preserve">Medium</t>
  </si>
  <si>
    <t xml:space="preserve">License &amp; Insurance Info</t>
  </si>
  <si>
    <t xml:space="preserve">License numbers, insurance details for credibility section</t>
  </si>
  <si>
    <t xml:space="preserve">BRANDING &amp; VISUALS</t>
  </si>
  <si>
    <t xml:space="preserve">Company Logo (high-res)</t>
  </si>
  <si>
    <t xml:space="preserve">PNG with transparent background preferred. I'll create all color variants.</t>
  </si>
  <si>
    <t xml:space="preserve">Brand Colors Preference</t>
  </si>
  <si>
    <t xml:space="preserve">Any specific colors you want? Current: Navy &amp; Gold</t>
  </si>
  <si>
    <t xml:space="preserve">Project Photos</t>
  </si>
  <si>
    <t xml:space="preserve">Before/after photos of your work — the more the better! Min 10-15 recommended.</t>
  </si>
  <si>
    <t xml:space="preserve">Team / Owner Photo</t>
  </si>
  <si>
    <t xml:space="preserve">Professional headshot for About page (optional but builds trust)</t>
  </si>
  <si>
    <t xml:space="preserve">Low</t>
  </si>
  <si>
    <t xml:space="preserve">WEBSITE CONTENT</t>
  </si>
  <si>
    <t xml:space="preserve">About Us / Company Story</t>
  </si>
  <si>
    <t xml:space="preserve">Your company story, how you started, mission, values — a few paragraphs</t>
  </si>
  <si>
    <t xml:space="preserve">List of All Services</t>
  </si>
  <si>
    <t xml:space="preserve">Every service you offer (e.g., frame repair, restoration, inspection, etc.)</t>
  </si>
  <si>
    <t xml:space="preserve">Service Descriptions</t>
  </si>
  <si>
    <t xml:space="preserve">2-3 sentences per service explaining what it includes</t>
  </si>
  <si>
    <t xml:space="preserve">Pricing Info (if applicable)</t>
  </si>
  <si>
    <t xml:space="preserve">Do you want pricing on the site? Ranges? 'Call for quote'?</t>
  </si>
  <si>
    <t xml:space="preserve">Customer Testimonials</t>
  </si>
  <si>
    <t xml:space="preserve">Written reviews or links to Google/Yelp reviews I can reference</t>
  </si>
  <si>
    <t xml:space="preserve">FAQ Answers</t>
  </si>
  <si>
    <t xml:space="preserve">Common questions customers ask — I'll format them for the FAQ page</t>
  </si>
  <si>
    <t xml:space="preserve">Blog Topic Ideas</t>
  </si>
  <si>
    <t xml:space="preserve">Any topics you want covered? Currently 16 blog posts planned.</t>
  </si>
  <si>
    <t xml:space="preserve">ACCOUNTS &amp; ACCESS</t>
  </si>
  <si>
    <t xml:space="preserve">Google Business Profile</t>
  </si>
  <si>
    <t xml:space="preserve">Do you have one? I need access for reviews and local SEO</t>
  </si>
  <si>
    <t xml:space="preserve">Domain Name</t>
  </si>
  <si>
    <t xml:space="preserve">Do you own a domain? If not, what domain do you want?</t>
  </si>
  <si>
    <t xml:space="preserve">Google Analytics</t>
  </si>
  <si>
    <t xml:space="preserve">Do you have GA4 set up? If not, I'll set it up for you.</t>
  </si>
  <si>
    <t xml:space="preserve">Social Media Links</t>
  </si>
  <si>
    <t xml:space="preserve">Facebook, Instagram, YouTube, etc. — any profiles to link to</t>
  </si>
  <si>
    <t xml:space="preserve">FUNCTIONALITY PREFERENCES</t>
  </si>
  <si>
    <t xml:space="preserve">Contact Form Fields</t>
  </si>
  <si>
    <t xml:space="preserve">What info do you want from leads? (Name, phone, email, service type, etc.)</t>
  </si>
  <si>
    <t xml:space="preserve">Scheduling Preference</t>
  </si>
  <si>
    <t xml:space="preserve">Use Google Calendar booking? Phone calls only? Both?</t>
  </si>
  <si>
    <t xml:space="preserve">Payment / Quotes</t>
  </si>
  <si>
    <t xml:space="preserve">Do you want online quote requests? Payment integration?</t>
  </si>
  <si>
    <t xml:space="preserve">PROJECT PHASES &amp; TASKS</t>
  </si>
  <si>
    <t xml:space="preserve">Full breakdown of every task in the website build. I'll keep this updated as we go.</t>
  </si>
  <si>
    <t xml:space="preserve">Phase</t>
  </si>
  <si>
    <t xml:space="preserve">Task</t>
  </si>
  <si>
    <t xml:space="preserve">Details</t>
  </si>
  <si>
    <t xml:space="preserve">Owner</t>
  </si>
  <si>
    <t xml:space="preserve">Notes</t>
  </si>
  <si>
    <t xml:space="preserve">PHASE 1: DISCOVERY &amp; PLANNING</t>
  </si>
  <si>
    <t xml:space="preserve">Discovery</t>
  </si>
  <si>
    <t xml:space="preserve">Client Kickoff Call</t>
  </si>
  <si>
    <t xml:space="preserve">Discuss goals, services, target audience, competitors</t>
  </si>
  <si>
    <t xml:space="preserve">Both</t>
  </si>
  <si>
    <t xml:space="preserve">Gather Business Info</t>
  </si>
  <si>
    <t xml:space="preserve">Collect all business details (see 'What I Need' tab)</t>
  </si>
  <si>
    <t xml:space="preserve">Client</t>
  </si>
  <si>
    <t xml:space="preserve">Competitor Research</t>
  </si>
  <si>
    <t xml:space="preserve">Analyze competitor websites in your market</t>
  </si>
  <si>
    <t xml:space="preserve">Ryan</t>
  </si>
  <si>
    <t xml:space="preserve">Site Map &amp; Page Plan</t>
  </si>
  <si>
    <t xml:space="preserve">Plan all 96 pages — locations, services, blog, etc.</t>
  </si>
  <si>
    <t xml:space="preserve">Design Direction</t>
  </si>
  <si>
    <t xml:space="preserve">Agree on colors, fonts, style, and overall look &amp; feel</t>
  </si>
  <si>
    <t xml:space="preserve">PHASE 2: DESIGN</t>
  </si>
  <si>
    <t xml:space="preserve">Design</t>
  </si>
  <si>
    <t xml:space="preserve">Logo &amp; Branding</t>
  </si>
  <si>
    <t xml:space="preserve">Create logo variants (wordmark-yellow, darkblue, white)</t>
  </si>
  <si>
    <t xml:space="preserve">Homepage Mockup</t>
  </si>
  <si>
    <t xml:space="preserve">Design homepage layout with hero, services, CTA sections</t>
  </si>
  <si>
    <t xml:space="preserve">Interior Page Templates</t>
  </si>
  <si>
    <t xml:space="preserve">Design templates for service, location, blog pages</t>
  </si>
  <si>
    <t xml:space="preserve">Mobile Responsive Design</t>
  </si>
  <si>
    <t xml:space="preserve">Ensure all pages work on phones and tablets</t>
  </si>
  <si>
    <t xml:space="preserve">Client Design Approval</t>
  </si>
  <si>
    <t xml:space="preserve">Review and approve the overall design direction</t>
  </si>
  <si>
    <t xml:space="preserve">PHASE 3: CONTENT CREATION</t>
  </si>
  <si>
    <t xml:space="preserve">Content</t>
  </si>
  <si>
    <t xml:space="preserve">Homepage Copy</t>
  </si>
  <si>
    <t xml:space="preserve">Write hero text, service summaries, calls to action</t>
  </si>
  <si>
    <t xml:space="preserve">Service Pages (11)</t>
  </si>
  <si>
    <t xml:space="preserve">Write detailed content for each service page</t>
  </si>
  <si>
    <t xml:space="preserve">Location Pages (62)</t>
  </si>
  <si>
    <t xml:space="preserve">Create unique content for each city/area page</t>
  </si>
  <si>
    <t xml:space="preserve">Blog Articles (16)</t>
  </si>
  <si>
    <t xml:space="preserve">Write SEO-optimized blog posts for each topic</t>
  </si>
  <si>
    <t xml:space="preserve">About Page</t>
  </si>
  <si>
    <t xml:space="preserve">Write company story — needs client input</t>
  </si>
  <si>
    <t xml:space="preserve">Photo Optimization</t>
  </si>
  <si>
    <t xml:space="preserve">Resize, compress, and optimize all project photos</t>
  </si>
  <si>
    <t xml:space="preserve">Client Content Review</t>
  </si>
  <si>
    <t xml:space="preserve">Review all written content for accuracy</t>
  </si>
  <si>
    <t xml:space="preserve">PHASE 4: DEVELOPMENT</t>
  </si>
  <si>
    <t xml:space="preserve">Development</t>
  </si>
  <si>
    <t xml:space="preserve">HTML/CSS Framework</t>
  </si>
  <si>
    <t xml:space="preserve">Build base HTML structure and CSS stylesheet</t>
  </si>
  <si>
    <t xml:space="preserve">Homepage Build</t>
  </si>
  <si>
    <t xml:space="preserve">Code the homepage with all sections</t>
  </si>
  <si>
    <t xml:space="preserve">Service Pages Build</t>
  </si>
  <si>
    <t xml:space="preserve">Code all 11 service page templates</t>
  </si>
  <si>
    <t xml:space="preserve">Location Pages Build</t>
  </si>
  <si>
    <t xml:space="preserve">Code all 62 location pages</t>
  </si>
  <si>
    <t xml:space="preserve">Blog Engine Build</t>
  </si>
  <si>
    <t xml:space="preserve">Code blog listing and individual post pages</t>
  </si>
  <si>
    <t xml:space="preserve">Contact Form (Formspree)</t>
  </si>
  <si>
    <t xml:space="preserve">Set up form submissions to client email</t>
  </si>
  <si>
    <t xml:space="preserve">Google Calendar Integration</t>
  </si>
  <si>
    <t xml:space="preserve">Embed booking/scheduling functionality</t>
  </si>
  <si>
    <t xml:space="preserve">Navigation &amp; Footer</t>
  </si>
  <si>
    <t xml:space="preserve">Build responsive nav menu and footer with links</t>
  </si>
  <si>
    <t xml:space="preserve">Image Gallery</t>
  </si>
  <si>
    <t xml:space="preserve">Build project photo gallery page</t>
  </si>
  <si>
    <t xml:space="preserve">PHASE 5: SEO &amp; TECHNICAL</t>
  </si>
  <si>
    <t xml:space="preserve">SEO</t>
  </si>
  <si>
    <t xml:space="preserve">Schema.org Structured Data</t>
  </si>
  <si>
    <t xml:space="preserve">Add LocalBusiness, Service, FAQ markup to all pages</t>
  </si>
  <si>
    <t xml:space="preserve">Meta Tags &amp; Descriptions</t>
  </si>
  <si>
    <t xml:space="preserve">Write unique title tags and meta descriptions per page</t>
  </si>
  <si>
    <t xml:space="preserve">XML Sitemap</t>
  </si>
  <si>
    <t xml:space="preserve">Generate and submit sitemap to Google</t>
  </si>
  <si>
    <t xml:space="preserve">Google Search Console</t>
  </si>
  <si>
    <t xml:space="preserve">Set up and verify site in Search Console</t>
  </si>
  <si>
    <t xml:space="preserve">Google Analytics (GA4)</t>
  </si>
  <si>
    <t xml:space="preserve">Install tracking code on all pages</t>
  </si>
  <si>
    <t xml:space="preserve">Page Speed Optimization</t>
  </si>
  <si>
    <t xml:space="preserve">Optimize images, CSS, loading performance</t>
  </si>
  <si>
    <t xml:space="preserve">Security Headers</t>
  </si>
  <si>
    <t xml:space="preserve">Add Content-Security-Policy, X-Frame-Options, etc.</t>
  </si>
  <si>
    <t xml:space="preserve">SSL Certificate</t>
  </si>
  <si>
    <t xml:space="preserve">Ensure HTTPS is active on all pages</t>
  </si>
  <si>
    <t xml:space="preserve">PHASE 6: TESTING &amp; LAUNCH</t>
  </si>
  <si>
    <t xml:space="preserve">Testing</t>
  </si>
  <si>
    <t xml:space="preserve">Cross-Browser Testing</t>
  </si>
  <si>
    <t xml:space="preserve">Test on Chrome, Firefox, Safari, Edge</t>
  </si>
  <si>
    <t xml:space="preserve">Mobile Testing</t>
  </si>
  <si>
    <t xml:space="preserve">Test on iPhone, Android, iPad</t>
  </si>
  <si>
    <t xml:space="preserve">Link Check (All 96 Pages)</t>
  </si>
  <si>
    <t xml:space="preserve">Verify every internal and external link works</t>
  </si>
  <si>
    <t xml:space="preserve">Form Testing</t>
  </si>
  <si>
    <t xml:space="preserve">Test contact form submissions end to end</t>
  </si>
  <si>
    <t xml:space="preserve">Client Final Review</t>
  </si>
  <si>
    <t xml:space="preserve">Full walkthrough of the entire site with client</t>
  </si>
  <si>
    <t xml:space="preserve">Domain Connection</t>
  </si>
  <si>
    <t xml:space="preserve">Point domain to Vercel hosting</t>
  </si>
  <si>
    <t xml:space="preserve">Go Live!</t>
  </si>
  <si>
    <t xml:space="preserve">Remove preview protections, site is public</t>
  </si>
  <si>
    <t xml:space="preserve">PHASE 7: POST-LAUNCH</t>
  </si>
  <si>
    <t xml:space="preserve">Post-Launch</t>
  </si>
  <si>
    <t xml:space="preserve">Google Business Profile Update</t>
  </si>
  <si>
    <t xml:space="preserve">Update GBP with new website URL</t>
  </si>
  <si>
    <t xml:space="preserve">Submit to Google</t>
  </si>
  <si>
    <t xml:space="preserve">Request indexing of all pages in Search Console</t>
  </si>
  <si>
    <t xml:space="preserve">Add website to all social profiles</t>
  </si>
  <si>
    <t xml:space="preserve">30-Day Check-In</t>
  </si>
  <si>
    <t xml:space="preserve">Review analytics, fix any issues, gather feedback</t>
  </si>
  <si>
    <t xml:space="preserve">Training / Handoff</t>
  </si>
  <si>
    <t xml:space="preserve">Show client how to request updates or changes</t>
  </si>
  <si>
    <t xml:space="preserve">PAGE-BY-PAGE PHOTOS &amp; CONTENT REQUIREMENTS</t>
  </si>
  <si>
    <t xml:space="preserve">Every page on your website — what photo goes where, what content needs your input, and what I need from you to make it real.</t>
  </si>
  <si>
    <t xml:space="preserve">Page Name</t>
  </si>
  <si>
    <t xml:space="preserve">URL Path</t>
  </si>
  <si>
    <t xml:space="preserve">Current Photo</t>
  </si>
  <si>
    <t xml:space="preserve">Photo Needed</t>
  </si>
  <si>
    <t xml:space="preserve">Content Sections to Update</t>
  </si>
  <si>
    <t xml:space="preserve">What Client Should Provide</t>
  </si>
  <si>
    <t xml:space="preserve">HOMEPAGE</t>
  </si>
  <si>
    <t xml:space="preserve">Homepage</t>
  </si>
  <si>
    <t xml:space="preserve">/</t>
  </si>
  <si>
    <t xml:space="preserve">frame-restoration-17.jpg (hero)</t>
  </si>
  <si>
    <t xml:space="preserve">Hero: Dramatic before/after or crew on a roof. Gallery: 6-8 real project photos showing different services.</t>
  </si>
  <si>
    <t xml:space="preserve">Hero headline &amp; subtext, 'Why Choose Us' section, service summaries, testimonial quotes, about preview paragraph</t>
  </si>
  <si>
    <t xml:space="preserve">5-10 real project photos (before/after preferred), 3+ customer testimonials with names, your 'why' story (2-3 sentences)</t>
  </si>
  <si>
    <t xml:space="preserve">SERVICE PAGES (11 pages — each has ONLY a hero background image, NO inline photos)</t>
  </si>
  <si>
    <t xml:space="preserve">Residential Roofing</t>
  </si>
  <si>
    <t xml:space="preserve">/pages/residential-roofing</t>
  </si>
  <si>
    <t xml:space="preserve">frame-restoration-02.jpg</t>
  </si>
  <si>
    <t xml:space="preserve">Hero: Close-up of a completed residential shingle roof. Add 2-3 inline photos showing: 1) crew installing shingles, 2) finished roof on a Utah home, 3) before/after.</t>
  </si>
  <si>
    <t xml:space="preserve">Service descriptions (installation, replacement, repair, storm damage), materials offered, warranty info</t>
  </si>
  <si>
    <t xml:space="preserve">Photos of completed residential jobs, your preferred shingle brands, warranty details you offer</t>
  </si>
  <si>
    <t xml:space="preserve">Commercial Roofing</t>
  </si>
  <si>
    <t xml:space="preserve">/pages/commercial-roofing</t>
  </si>
  <si>
    <t xml:space="preserve">frame-restoration-09.jpg</t>
  </si>
  <si>
    <t xml:space="preserve">Hero: Large commercial building with flat or metal roof. Add 2-3 inline photos of commercial work — warehouse, office, retail.</t>
  </si>
  <si>
    <t xml:space="preserve">Commercial service descriptions, types of commercial roofs you do, project scale details</t>
  </si>
  <si>
    <t xml:space="preserve">Photos of commercial jobs, types of buildings you work on, any commercial certifications</t>
  </si>
  <si>
    <t xml:space="preserve">Storm Damage Restoration</t>
  </si>
  <si>
    <t xml:space="preserve">/pages/storm-damage-restoration</t>
  </si>
  <si>
    <t xml:space="preserve">frame-restoration-17.jpg</t>
  </si>
  <si>
    <t xml:space="preserve">Hero: Visible storm damage on a roof (hail dents, missing shingles). Add 2-3 inline: 1) hail damage close-up, 2) crew doing emergency work, 3) completed repair.</t>
  </si>
  <si>
    <t xml:space="preserve">Hail, wind, snow damage descriptions, insurance claim process details, emergency response info</t>
  </si>
  <si>
    <t xml:space="preserve">Storm damage photos (hail dents, wind damage, ice dams), your insurance claim process steps</t>
  </si>
  <si>
    <t xml:space="preserve">Roof Replacement</t>
  </si>
  <si>
    <t xml:space="preserve">/pages/roof-replacement</t>
  </si>
  <si>
    <t xml:space="preserve">frame-restoration-02.jpg (reused)</t>
  </si>
  <si>
    <t xml:space="preserve">Hero: Full tear-off in progress or brand new roof. NEEDS UNIQUE PHOTO — currently reusing residential-roofing hero.</t>
  </si>
  <si>
    <t xml:space="preserve">When replacement is needed vs repair, materials/brands, timeline expectations, cost factors</t>
  </si>
  <si>
    <t xml:space="preserve">Photos of a tear-off in progress and completed replacement, brands you carry, typical project timeline</t>
  </si>
  <si>
    <t xml:space="preserve">Roof Repair</t>
  </si>
  <si>
    <t xml:space="preserve">/pages/roof-repair</t>
  </si>
  <si>
    <t xml:space="preserve">frame-restoration-06.jpg</t>
  </si>
  <si>
    <t xml:space="preserve">Hero: Targeted repair work — patching, flashing fix, or leak repair. Add 1-2 inline showing specific repair types.</t>
  </si>
  <si>
    <t xml:space="preserve">Types of repairs you handle, emergency repair availability, common repair scenarios</t>
  </si>
  <si>
    <t xml:space="preserve">Photos of repair work (leak fixes, shingle replacement, flashing), your emergency response time</t>
  </si>
  <si>
    <t xml:space="preserve">Solar Installation</t>
  </si>
  <si>
    <t xml:space="preserve">/pages/solar-installation</t>
  </si>
  <si>
    <t xml:space="preserve">frame-restoration-14.jpg</t>
  </si>
  <si>
    <t xml:space="preserve">Hero: Solar panels on a Utah home with mountain backdrop. Add 2-3 inline: 1) installation process, 2) completed solar array, 3) roof prep for solar.</t>
  </si>
  <si>
    <t xml:space="preserve">Solar services offered, brands/equipment used, financing options, how it pairs with roof replacement</t>
  </si>
  <si>
    <t xml:space="preserve">Solar installation photos, brands/equipment you install, financing partners, any certifications</t>
  </si>
  <si>
    <t xml:space="preserve">Water Fire &amp; Flood Restoration</t>
  </si>
  <si>
    <t xml:space="preserve">/pages/water-fire-flood-restoration</t>
  </si>
  <si>
    <t xml:space="preserve">frame-restoration-20.jpg</t>
  </si>
  <si>
    <t xml:space="preserve">Hero: Restoration work in progress (water extraction, fire cleanup). Add 2-3 inline showing different damage types.</t>
  </si>
  <si>
    <t xml:space="preserve">Water damage, fire damage, flood damage service descriptions, emergency response process</t>
  </si>
  <si>
    <t xml:space="preserve">Restoration project photos (water, fire, flood), your emergency response process, equipment used</t>
  </si>
  <si>
    <t xml:space="preserve">Insurance Claims</t>
  </si>
  <si>
    <t xml:space="preserve">/pages/insurance-claims</t>
  </si>
  <si>
    <t xml:space="preserve">frame-restoration-17.jpg (reused)</t>
  </si>
  <si>
    <t xml:space="preserve">Hero: Adjuster meeting on-site or documentation process. NEEDS UNIQUE PHOTO — currently reusing storm damage hero.</t>
  </si>
  <si>
    <t xml:space="preserve">Your insurance claim process, what you handle for the client, timeline, documentation approach</t>
  </si>
  <si>
    <t xml:space="preserve">Description of how you walk clients through claims, any success stats, common insurance questions</t>
  </si>
  <si>
    <t xml:space="preserve">Emergency Tarping</t>
  </si>
  <si>
    <t xml:space="preserve">/pages/emergency-tarping</t>
  </si>
  <si>
    <t xml:space="preserve">frame-restoration-06.jpg (reused)</t>
  </si>
  <si>
    <t xml:space="preserve">Hero: Emergency tarp on a damaged roof. NEEDS UNIQUE PHOTO — currently reusing roof repair hero.</t>
  </si>
  <si>
    <t xml:space="preserve">Emergency tarping service details, response time, what's included, when tarping is needed</t>
  </si>
  <si>
    <t xml:space="preserve">Emergency tarping photos, your typical response time, 24/7 availability confirmation</t>
  </si>
  <si>
    <t xml:space="preserve">General Contracting</t>
  </si>
  <si>
    <t xml:space="preserve">/pages/general-contracting</t>
  </si>
  <si>
    <t xml:space="preserve">frame-restoration-03.jpg</t>
  </si>
  <si>
    <t xml:space="preserve">Hero: General construction/renovation work. Add 2-3 inline showing variety: remodel, framing, exterior work.</t>
  </si>
  <si>
    <t xml:space="preserve">General contracting services, types of projects, capabilities beyond roofing</t>
  </si>
  <si>
    <t xml:space="preserve">Photos of non-roofing projects (additions, remodels, siding, etc.), scope of GC services</t>
  </si>
  <si>
    <t xml:space="preserve">Storm Damage (alternate)</t>
  </si>
  <si>
    <t xml:space="preserve">/pages/storm-damage</t>
  </si>
  <si>
    <t xml:space="preserve">Consider merging with /pages/storm-damage-restoration or redirecting. Currently a duplicate topic with different URL.</t>
  </si>
  <si>
    <t xml:space="preserve">Same as storm damage restoration — potential duplicate page to consolidate</t>
  </si>
  <si>
    <t xml:space="preserve">Confirm if this should be a separate page or redirect to storm-damage-restoration</t>
  </si>
  <si>
    <t xml:space="preserve">BLOG POSTS (16 posts — each has ONE featured image inline in the article body)</t>
  </si>
  <si>
    <t xml:space="preserve">Roof Repair vs Replacement - Bountiful</t>
  </si>
  <si>
    <t xml:space="preserve">/blog/bountiful/roof-repair-vs-replacement</t>
  </si>
  <si>
    <t xml:space="preserve">Featured image: Side-by-side showing a repaired section vs. a full new roof in Bountiful area.</t>
  </si>
  <si>
    <t xml:space="preserve">Repair vs replacement decision criteria — needs real local pricing, your professional recommendation</t>
  </si>
  <si>
    <t xml:space="preserve">Your rule of thumb for repair vs replace, typical Bountiful job costs, local examples</t>
  </si>
  <si>
    <t xml:space="preserve">Insurance Claims Storm Damage - Draper</t>
  </si>
  <si>
    <t xml:space="preserve">/blog/draper/insurance-claims-storm-damage</t>
  </si>
  <si>
    <t xml:space="preserve">Featured image: Insurance adjuster on a Draper roof with documentation in hand.</t>
  </si>
  <si>
    <t xml:space="preserve">Insurance claim walkthrough — needs your actual process steps, success stories</t>
  </si>
  <si>
    <t xml:space="preserve">Your step-by-step claim process, a client success story from Draper if possible</t>
  </si>
  <si>
    <t xml:space="preserve">Hail Damage New Homes - Herriman</t>
  </si>
  <si>
    <t xml:space="preserve">/blog/herriman/hail-damage-new-homes</t>
  </si>
  <si>
    <t xml:space="preserve">frame-restoration-12.jpg</t>
  </si>
  <si>
    <t xml:space="preserve">Featured image: Hail damage on a newer Herriman subdivision roof.</t>
  </si>
  <si>
    <t xml:space="preserve">Why new homes get hail damage — needs Herriman-specific weather data, your local experience</t>
  </si>
  <si>
    <t xml:space="preserve">Photos of hail damage on new Herriman homes, any stats on Herriman hail frequency</t>
  </si>
  <si>
    <t xml:space="preserve">Emergency Roof Tarping - Layton</t>
  </si>
  <si>
    <t xml:space="preserve">/blog/layton/emergency-roof-tarping</t>
  </si>
  <si>
    <t xml:space="preserve">frame-restoration-19.jpg</t>
  </si>
  <si>
    <t xml:space="preserve">Featured image: Emergency tarp installation on a Layton home, ideally during bad weather.</t>
  </si>
  <si>
    <t xml:space="preserve">Emergency tarping guide — needs your actual response process and local Layton context</t>
  </si>
  <si>
    <t xml:space="preserve">Emergency tarping photos, your response time to Layton, any Layton storm stories</t>
  </si>
  <si>
    <t xml:space="preserve">Hail Damage Roof Repair - Lehi</t>
  </si>
  <si>
    <t xml:space="preserve">/blog/lehi/hail-damage-roof-repair</t>
  </si>
  <si>
    <t xml:space="preserve">frame-restoration-12.jpg (reused)</t>
  </si>
  <si>
    <t xml:space="preserve">Featured image: Hail impact damage close-up on a Lehi roof. NEEDS UNIQUE PHOTO — reusing Herriman hail image.</t>
  </si>
  <si>
    <t xml:space="preserve">Lehi hail repair specifics — needs local weather patterns, your Lehi project experience</t>
  </si>
  <si>
    <t xml:space="preserve">Lehi hail damage photos (unique from Herriman post), local storm frequency info</t>
  </si>
  <si>
    <t xml:space="preserve">Signs You Need New Roof - Murray</t>
  </si>
  <si>
    <t xml:space="preserve">/blog/murray/signs-you-need-new-roof</t>
  </si>
  <si>
    <t xml:space="preserve">Featured image: Aging roof showing clear wear signs (curling shingles, moss, sagging). NEEDS UNIQUE PHOTO.</t>
  </si>
  <si>
    <t xml:space="preserve">Roof warning signs — needs your professional criteria for when a roof is done</t>
  </si>
  <si>
    <t xml:space="preserve">Photos showing roof aging/wear, your checklist for 'this roof needs replacing'</t>
  </si>
  <si>
    <t xml:space="preserve">Flat Roof Problems - Orem</t>
  </si>
  <si>
    <t xml:space="preserve">/blog/orem/flat-roof-problems-repair</t>
  </si>
  <si>
    <t xml:space="preserve">frame-restoration-15.jpg</t>
  </si>
  <si>
    <t xml:space="preserve">Featured image: Flat commercial/residential roof in Orem showing common issue (ponding, membrane damage).</t>
  </si>
  <si>
    <t xml:space="preserve">Flat roof problems &amp; repair — needs Orem-specific building types, your flat roof expertise</t>
  </si>
  <si>
    <t xml:space="preserve">Flat roof project photos, common problems you see in Orem, repair methods you use</t>
  </si>
  <si>
    <t xml:space="preserve">Ice Dam Winter Damage - Park City</t>
  </si>
  <si>
    <t xml:space="preserve">/blog/park-city/ice-dam-winter-roof-damage</t>
  </si>
  <si>
    <t xml:space="preserve">frame-restoration-04.jpg</t>
  </si>
  <si>
    <t xml:space="preserve">Featured image: Ice dam on a Park City mountain home with icicles and snow load.</t>
  </si>
  <si>
    <t xml:space="preserve">Ice dam prevention &amp; repair — needs Park City winter specifics, your ventilation approach</t>
  </si>
  <si>
    <t xml:space="preserve">Ice dam photos from Park City jobs, your prevention/fix process, ventilation recommendations</t>
  </si>
  <si>
    <t xml:space="preserve">Storm Damage Roof Repair - Provo</t>
  </si>
  <si>
    <t xml:space="preserve">/blog/provo/storm-damage-roof-repair</t>
  </si>
  <si>
    <t xml:space="preserve">Featured image: Storm-damaged roof in Provo. NEEDS UNIQUE PHOTO — reusing main storm damage image.</t>
  </si>
  <si>
    <t xml:space="preserve">Provo storm repair guide — needs local Provo weather patterns, your project examples</t>
  </si>
  <si>
    <t xml:space="preserve">Provo storm damage photos (unique), any Provo-specific project stories</t>
  </si>
  <si>
    <t xml:space="preserve">Older Home Roof Replacement - SLC</t>
  </si>
  <si>
    <t xml:space="preserve">/blog/salt-lake-city/older-home-roof-replacement</t>
  </si>
  <si>
    <t xml:space="preserve">Featured image: Older SLC home (Avenues, Sugar House era) getting new roof. NEEDS UNIQUE PHOTO.</t>
  </si>
  <si>
    <t xml:space="preserve">Older home challenges — needs SLC neighborhood specifics, historical home considerations</t>
  </si>
  <si>
    <t xml:space="preserve">Photos of older SLC home roof projects, challenges with 1920s-1960s homes, material recommendations</t>
  </si>
  <si>
    <t xml:space="preserve">Spring Hail Damage - Sandy</t>
  </si>
  <si>
    <t xml:space="preserve">/blog/sandy/spring-hail-damage-roof</t>
  </si>
  <si>
    <t xml:space="preserve">Featured image: Sandy east-bench home with hail damage after spring storm. NEEDS UNIQUE PHOTO.</t>
  </si>
  <si>
    <t xml:space="preserve">Sandy hail season — needs specific Sandy/east-bench weather data, your local experience</t>
  </si>
  <si>
    <t xml:space="preserve">Sandy hail damage photos (unique), Sandy storm season timing, east-bench specific risks</t>
  </si>
  <si>
    <t xml:space="preserve">Roof Leak After Rainstorm - West Jordan</t>
  </si>
  <si>
    <t xml:space="preserve">/blog/west-jordan/roof-leak-after-rainstorm</t>
  </si>
  <si>
    <t xml:space="preserve">Featured image: Interior ceiling water stain or active leak in a West Jordan home. NEEDS UNIQUE PHOTO.</t>
  </si>
  <si>
    <t xml:space="preserve">Leak diagnosis &amp; repair — needs your troubleshooting process, common causes</t>
  </si>
  <si>
    <t xml:space="preserve">Leak/water damage photos (ceiling stains, attic moisture), your leak diagnosis process</t>
  </si>
  <si>
    <t xml:space="preserve">Roof Replacement Cost - West Valley City</t>
  </si>
  <si>
    <t xml:space="preserve">/blog/west-valley-city/roof-replacement-cost</t>
  </si>
  <si>
    <t xml:space="preserve">Featured image: Roof replacement in progress in West Valley City. NEEDS UNIQUE PHOTO.</t>
  </si>
  <si>
    <t xml:space="preserve">Pricing guide — needs your actual price ranges, factors that affect cost</t>
  </si>
  <si>
    <t xml:space="preserve">Your typical price ranges by roof size, material cost differences, what drives cost up/down</t>
  </si>
  <si>
    <t xml:space="preserve">Roof Leak Repair Sandy 84070</t>
  </si>
  <si>
    <t xml:space="preserve">/blog/roof-leak-repair-sandy-84070</t>
  </si>
  <si>
    <t xml:space="preserve">Featured image: Leak repair process — finding and fixing the source. NEEDS UNIQUE PHOTO.</t>
  </si>
  <si>
    <t xml:space="preserve">Sandy 84070 leak repair — ZIP-code specific, needs real neighborhood context</t>
  </si>
  <si>
    <t xml:space="preserve">Sandy 84070 leak repair photos, any neighborhood-specific issues in that ZIP</t>
  </si>
  <si>
    <t xml:space="preserve">Snow Damage Heber City 84032</t>
  </si>
  <si>
    <t xml:space="preserve">/blog/snow-damage-roof-heber-city-84032</t>
  </si>
  <si>
    <t xml:space="preserve">frame-restoration-04.jpg (reused)</t>
  </si>
  <si>
    <t xml:space="preserve">Featured image: Heavy snow load on a Heber City mountain home. NEEDS UNIQUE PHOTO from Park City post.</t>
  </si>
  <si>
    <t xml:space="preserve">Heber City snow damage — needs local snowfall data, mountain community specifics</t>
  </si>
  <si>
    <t xml:space="preserve">Heber City snow damage photos, snowfall averages, your experience in the Heber Valley</t>
  </si>
  <si>
    <t xml:space="preserve">Blog Index Page</t>
  </si>
  <si>
    <t xml:space="preserve">/blog/index.html</t>
  </si>
  <si>
    <t xml:space="preserve">No photo</t>
  </si>
  <si>
    <t xml:space="preserve">No hero image needed. Consider adding a banner image or featured post thumbnails to make it more visual.</t>
  </si>
  <si>
    <t xml:space="preserve">Blog listing layout — currently text-only. Could add category filters or featured post section.</t>
  </si>
  <si>
    <t xml:space="preserve">Confirm if you want blog categories, featured posts, or keep it simple</t>
  </si>
  <si>
    <t xml:space="preserve">LOCATION PAGES (48 city hubs + ~288 sub-pages — hero image per page, all reuse from 24 photos)</t>
  </si>
  <si>
    <t xml:space="preserve">Salt Lake City Hub</t>
  </si>
  <si>
    <t xml:space="preserve">/locations/salt-lake-city</t>
  </si>
  <si>
    <t xml:space="preserve">Hero: Iconic SLC skyline with mountains, or a completed roof job in SLC. Each of the 6 sub-pages also needs a hero.</t>
  </si>
  <si>
    <t xml:space="preserve">City intro, local stats, neighborhoods served, service descriptions — all need SLC-specific detail</t>
  </si>
  <si>
    <t xml:space="preserve">SLC project photos, neighborhoods you work in most, any SLC-specific certifications or partnerships</t>
  </si>
  <si>
    <t xml:space="preserve">Sandy Hub</t>
  </si>
  <si>
    <t xml:space="preserve">/locations/sandy</t>
  </si>
  <si>
    <t xml:space="preserve">Hero: Sandy east-bench neighborhood with Wasatch mountains. NEEDS UNIQUE PHOTO — currently same as SLC.</t>
  </si>
  <si>
    <t xml:space="preserve">Sandy-specific intro, local weather challenges, neighborhoods (Pepperwood, Dimple Dell, Alta Canyon)</t>
  </si>
  <si>
    <t xml:space="preserve">Sandy project photos (unique from SLC), Sandy neighborhoods you work in</t>
  </si>
  <si>
    <t xml:space="preserve">Draper Hub</t>
  </si>
  <si>
    <t xml:space="preserve">/locations/draper</t>
  </si>
  <si>
    <t xml:space="preserve">Uses one of 24 photos</t>
  </si>
  <si>
    <t xml:space="preserve">Hero: Draper neighborhood or Point of the Mountain area. Each location should feel distinct — not the same photo as Sandy/SLC.</t>
  </si>
  <si>
    <t xml:space="preserve">Draper-specific content, local neighborhoods, weather patterns unique to south valley</t>
  </si>
  <si>
    <t xml:space="preserve">Draper project photos, Draper neighborhoods you serve</t>
  </si>
  <si>
    <t xml:space="preserve">Park City Hub</t>
  </si>
  <si>
    <t xml:space="preserve">/locations/park-city</t>
  </si>
  <si>
    <t xml:space="preserve">Hero: Park City mountain home with snow or dramatic mountain backdrop. This location should feel premium/ski-town.</t>
  </si>
  <si>
    <t xml:space="preserve">Park City premium market positioning, mountain building codes, snow load requirements</t>
  </si>
  <si>
    <t xml:space="preserve">Park City project photos, experience with mountain/luxury homes, any PC contractor requirements</t>
  </si>
  <si>
    <t xml:space="preserve">All Other Location Hubs (44)</t>
  </si>
  <si>
    <t xml:space="preserve">Various — 44 more cities</t>
  </si>
  <si>
    <t xml:space="preserve">Rotating through 24 photos</t>
  </si>
  <si>
    <t xml:space="preserve">Each city hub needs its own distinct hero photo. Currently many share the same image. Ideally: local landmarks, neighborhood shots, or completed jobs in that city.</t>
  </si>
  <si>
    <t xml:space="preserve">Each page has city-specific intro, local stats, and service cards. Content is currently AI-generated and needs real local details.</t>
  </si>
  <si>
    <t xml:space="preserve">Project photos tagged by city (even phone photos help), any city-specific info or fun facts</t>
  </si>
  <si>
    <t xml:space="preserve">LOCATION SUB-PAGES (~288 pages — 6 services x 48 cities, each with hero image)</t>
  </si>
  <si>
    <t xml:space="preserve">Location Sub-Pages (All)</t>
  </si>
  <si>
    <t xml:space="preserve">e.g. /locations/sandy/residential-roofing</t>
  </si>
  <si>
    <t xml:space="preserve">Each sub-page uses one of 24 photos as hero. Content includes 5-step process, common problems list, FAQ. Most content is good but needs real client details for: pricing ranges, timeline estimates, and local-specific issues.</t>
  </si>
  <si>
    <t xml:space="preserve">5-step process descriptions, common local problems, FAQ answers — currently templated, needs your real answers</t>
  </si>
  <si>
    <t xml:space="preserve">Your actual step-by-step process, real timeline estimates, real FAQ answers from customers</t>
  </si>
  <si>
    <t xml:space="preserve">SITEWIDE ITEMS</t>
  </si>
  <si>
    <t xml:space="preserve">Squarespace CDN Migration</t>
  </si>
  <si>
    <t xml:space="preserve">All pages</t>
  </si>
  <si>
    <t xml:space="preserve">24 photos on Squarespace CDN</t>
  </si>
  <si>
    <t xml:space="preserve">ALL current images are hosted on Squarespace CDN (images.squarespace-cdn.com). These MUST be migrated to self-hosted before launch.</t>
  </si>
  <si>
    <t xml:space="preserve">Image hosting migration — I'll handle the technical work, but need final photos first</t>
  </si>
  <si>
    <t xml:space="preserve">Final approved photos so I can do the migration once (not twice)</t>
  </si>
  <si>
    <t xml:space="preserve">Gallery Section (Homepage)</t>
  </si>
  <si>
    <t xml:space="preserve">/#gallery</t>
  </si>
  <si>
    <t xml:space="preserve">6-8 project photos</t>
  </si>
  <si>
    <t xml:space="preserve">Gallery currently shows placeholder/stock-looking images. Needs real before/after project showcase.</t>
  </si>
  <si>
    <t xml:space="preserve">Gallery layout and photo count — currently 6-8 slots</t>
  </si>
  <si>
    <t xml:space="preserve">6-8 of your best before/after project photos with brief project descriptions</t>
  </si>
  <si>
    <t xml:space="preserve">Google Reviews Integration</t>
  </si>
  <si>
    <t xml:space="preserve">Homepage + location pages</t>
  </si>
  <si>
    <t xml:space="preserve">N/A — text content</t>
  </si>
  <si>
    <t xml:space="preserve">Schema.org currently has 3 hardcoded reviews. Need real Google reviews linked properly.</t>
  </si>
  <si>
    <t xml:space="preserve">Review quotes, star ratings, reviewer names — must match real Google Business Profile reviews</t>
  </si>
  <si>
    <t xml:space="preserve">Google Business Profile access so I can pull real reviews, or 5+ review quotes with names</t>
  </si>
  <si>
    <t xml:space="preserve">Favicon &amp; App Icons</t>
  </si>
  <si>
    <t xml:space="preserve">Current: generic favicon.ico</t>
  </si>
  <si>
    <t xml:space="preserve">Need branded favicon and Apple touch icons using final logo.</t>
  </si>
  <si>
    <t xml:space="preserve">Favicon, Apple touch icon, Open Graph default image — all generated from final logo</t>
  </si>
  <si>
    <t xml:space="preserve">Final approved logo (I'll generate all icon sizes from it)</t>
  </si>
  <si>
    <t xml:space="preserve">BRAND MESSAGING &amp; BLOG DIRECTION</t>
  </si>
  <si>
    <t xml:space="preserve">This defines how your brand sounds, looks, and communicates across every page — so everything feels like YOU, not generic AI content.</t>
  </si>
  <si>
    <t xml:space="preserve">Category</t>
  </si>
  <si>
    <t xml:space="preserve">Current Direction / Recommendation</t>
  </si>
  <si>
    <t xml:space="preserve">Your Input / Feedback</t>
  </si>
  <si>
    <t xml:space="preserve">BRAND VOICE &amp; TONE</t>
  </si>
  <si>
    <t xml:space="preserve">Brand Personality</t>
  </si>
  <si>
    <t xml:space="preserve">Frame Restoration should come across as: professional but approachable, experienced but not arrogant, local and trustworthy. Think: the neighbor who happens to be an expert roofer.</t>
  </si>
  <si>
    <t xml:space="preserve">Does this match how you talk to customers? Any adjustments?</t>
  </si>
  <si>
    <t xml:space="preserve">Tone on Service Pages</t>
  </si>
  <si>
    <t xml:space="preserve">Confident, informative, action-oriented. Lead with what the customer gets, not what you do. Example: 'Your roof handles the worst of Utah weather — we make sure it keeps doing that.' NOT: 'We offer roofing services in Utah.'</t>
  </si>
  <si>
    <t xml:space="preserve">Review the example tone — does it sound like you?</t>
  </si>
  <si>
    <t xml:space="preserve">Tone on Blog Posts</t>
  </si>
  <si>
    <t xml:space="preserve">Educational, helpful, local-expert. Write like you're explaining things to a neighbor over the fence. Use specific Utah details (canyon winds, Wasatch hail, east-bench snow). Avoid salesy language in blog content.</t>
  </si>
  <si>
    <t xml:space="preserve">What questions do customers actually ask you? Those become blog topics.</t>
  </si>
  <si>
    <t xml:space="preserve">Tone on Location Pages</t>
  </si>
  <si>
    <t xml:space="preserve">Hyper-local and community-aware. Mention real neighborhoods, local landmarks, ZIP codes, and weather patterns specific to each city. Each city page should feel like you KNOW that area.</t>
  </si>
  <si>
    <t xml:space="preserve">For your top 5 cities — what neighborhoods do you work in most? Any local details?</t>
  </si>
  <si>
    <t xml:space="preserve">Words to Use</t>
  </si>
  <si>
    <t xml:space="preserve">Straightforward, honest, Utah-specific: 'Wasatch Front', 'canyon winds', 'east bench', 'free inspection', 'no surprises', 'we handle the insurance', 'your roof, our priority'</t>
  </si>
  <si>
    <t xml:space="preserve">Any phrases you use with customers that really resonate?</t>
  </si>
  <si>
    <t xml:space="preserve">Words to Avoid</t>
  </si>
  <si>
    <t xml:space="preserve">Avoid: 'synergy', 'leverage', 'solutions provider', 'world-class', 'cutting-edge'. Also avoid generic filler like 'in today's world' or 'when it comes to roofing'. Be specific, not fluffy.</t>
  </si>
  <si>
    <t xml:space="preserve">Any words or phrases you definitely do NOT want on the site?</t>
  </si>
  <si>
    <t xml:space="preserve">CORE MESSAGING PILLARS (these themes should show up on every page)</t>
  </si>
  <si>
    <t xml:space="preserve">Pillar 1: Insurance Made Easy</t>
  </si>
  <si>
    <t xml:space="preserve">You handle the entire insurance claim process. This is your biggest differentiator — most roofers don't do this. Every service page and blog post should mention insurance help.</t>
  </si>
  <si>
    <t xml:space="preserve">Is this accurate? How much of the claim do you handle vs. the homeowner?</t>
  </si>
  <si>
    <t xml:space="preserve">Pillar 2: Local Utah Experts</t>
  </si>
  <si>
    <t xml:space="preserve">You're not a national franchise — you live and work on the Wasatch Front. You know the weather, the neighborhoods, the building codes. This builds trust over out-of-state companies.</t>
  </si>
  <si>
    <t xml:space="preserve">How long have you been in Utah? Any specific Utah credentials or local partnerships?</t>
  </si>
  <si>
    <t xml:space="preserve">Pillar 3: No-Pressure Free Inspections</t>
  </si>
  <si>
    <t xml:space="preserve">Free roof inspections with no obligation. This is the primary conversion action on every page. Make it feel safe: 'We'll tell you what we see — no pressure, no surprise invoices.'</t>
  </si>
  <si>
    <t xml:space="preserve">Is 'free inspection' the main thing you want people to do on the site? Or call first?</t>
  </si>
  <si>
    <t xml:space="preserve">Pillar 4: Quality &amp; Warranty</t>
  </si>
  <si>
    <t xml:space="preserve">You use top-tier materials (GAF, Owens Corning, CertainTeed) and provide real warranties. This separates you from low-bid contractors.</t>
  </si>
  <si>
    <t xml:space="preserve">What specific warranties do you offer? Manufacturer warranty + workmanship warranty?</t>
  </si>
  <si>
    <t xml:space="preserve">Pillar 5: Fast Emergency Response</t>
  </si>
  <si>
    <t xml:space="preserve">24/7 emergency tarping and storm response. When a tree hits a roof or a storm rips off shingles, you're there fast.</t>
  </si>
  <si>
    <t xml:space="preserve">What's your actual emergency response time? Do you have a 24/7 phone line?</t>
  </si>
  <si>
    <t xml:space="preserve">BLOG CONTENT STRATEGY</t>
  </si>
  <si>
    <t xml:space="preserve">Blog Purpose</t>
  </si>
  <si>
    <t xml:space="preserve">Every blog post serves two jobs: (1) rank in Google for '[city] + [roofing topic]' searches, and (2) educate potential customers so they trust you enough to call. Posts should NOT be thinly disguised sales pitches.</t>
  </si>
  <si>
    <t xml:space="preserve">Any topics customers ask about that aren't covered in the current 16 posts?</t>
  </si>
  <si>
    <t xml:space="preserve">Current Blog Topics (16)</t>
  </si>
  <si>
    <t xml:space="preserve">Repair vs Replace (Bountiful), Insurance Claims (Draper), Hail on New Homes (Herriman), Emergency Tarping (Layton), Hail Repair (Lehi), Signs You Need New Roof (Murray), Flat Roof (Orem), Ice Dams (Park City), Storm Repair (Provo), Older Homes (SLC), Hail (Sandy), Leak After Rain (West Jordan), Cost Guide (WVC), Leak Repair (Sandy ZIP), Snow Damage (Heber)</t>
  </si>
  <si>
    <t xml:space="preserve">Are any of these topics wrong for your business? Any you'd remove or add?</t>
  </si>
  <si>
    <t xml:space="preserve">Blog Gaps — Recommended New Posts</t>
  </si>
  <si>
    <t xml:space="preserve">Missing topics: Solar + roof bundles, HOA roof requirements, metal roofing pros/cons, seasonal maintenance checklist, how to choose a roofer, commercial roof types, fire damage restoration guide, gutter &amp; ventilation importance</t>
  </si>
  <si>
    <t xml:space="preserve">Which of these topics interest you? Any you'd prioritize?</t>
  </si>
  <si>
    <t xml:space="preserve">Blog Photo Strategy</t>
  </si>
  <si>
    <t xml:space="preserve">Each post needs ONE unique featured image. Currently many posts reuse the same 3-4 photos. City-specific posts should show that city — even a phone photo of a job in that neighborhood is better than a generic stock image.</t>
  </si>
  <si>
    <t xml:space="preserve">Can you start tagging project photos by city? Even rough phone photos work.</t>
  </si>
  <si>
    <t xml:space="preserve">Blog CTAs</t>
  </si>
  <si>
    <t xml:space="preserve">Every blog post ends with a gold CTA box: 'Schedule a Free Inspection'. This is consistent and good. Consider adding a secondary CTA for phone calls on mobile.</t>
  </si>
  <si>
    <t xml:space="preserve">Is the 'free inspection' CTA the right action for every post, or do some need 'call us' instead?</t>
  </si>
  <si>
    <t xml:space="preserve">VISUAL &amp; PHOTO DIRECTION</t>
  </si>
  <si>
    <t xml:space="preserve">Photo Style</t>
  </si>
  <si>
    <t xml:space="preserve">Real project photos always beat stock. Even a phone photo of your crew on a roof beats a perfectly lit stock image. Authentic &gt; polished. Show real Utah homes, real damage, real repairs.</t>
  </si>
  <si>
    <t xml:space="preserve">Are you comfortable taking photos on job sites? Phone photos are totally fine.</t>
  </si>
  <si>
    <t xml:space="preserve">Before/After Priority</t>
  </si>
  <si>
    <t xml:space="preserve">Before/after comparisons are the #1 most effective photos for roofing. Damaged roof → beautiful new roof. Try to capture these on every project, even quickly.</t>
  </si>
  <si>
    <t xml:space="preserve">Do you currently take before/after photos? Can you start?</t>
  </si>
  <si>
    <t xml:space="preserve">Photo Checklist per Job</t>
  </si>
  <si>
    <t xml:space="preserve">Ideal photo set per project: (1) Before/damage, (2) Crew working, (3) Materials/brand close-up, (4) Completed project, (5) Wide shot showing the full home. You don't need all 5 every time — any are helpful.</t>
  </si>
  <si>
    <t xml:space="preserve">Would a quick photo checklist card for your crew be helpful?</t>
  </si>
  <si>
    <t xml:space="preserve">Current Photo Inventory</t>
  </si>
  <si>
    <t xml:space="preserve">You have 24 photos (frame-restoration-01 through 24). These are being reused across 96+ pages. Goal: get to 50-75 unique photos so every page feels different.</t>
  </si>
  <si>
    <t xml:space="preserve">Can you gather 25-50 more photos from past and current projects?</t>
  </si>
  <si>
    <t xml:space="preserve">SEO CONTENT GUIDELINES (for consistent optimization across all pages)</t>
  </si>
  <si>
    <t xml:space="preserve">Title Tag Formula</t>
  </si>
  <si>
    <t xml:space="preserve">Service pages: '[Service] Utah | Frame Restoration Utah'. Location pages: '[Service] [City] UT | Frame Restoration'. Blog: '[Topic] in [City] | Frame Restoration Utah'. Keep under 60 characters.</t>
  </si>
  <si>
    <t xml:space="preserve">Review current title tags — any you'd change?</t>
  </si>
  <si>
    <t xml:space="preserve">Meta Description Formula</t>
  </si>
  <si>
    <t xml:space="preserve">130-155 characters. Include: service name, city, one differentiator (insurance help, free inspection, etc.), phone number. Every page has a unique description.</t>
  </si>
  <si>
    <t xml:space="preserve">Do you want the phone number in every meta description?</t>
  </si>
  <si>
    <t xml:space="preserve">H1 Heading Rule</t>
  </si>
  <si>
    <t xml:space="preserve">One H1 per page. Service pages: '[Service] Across Utah'. Location pages: '[Service] in [City], UT'. Blog: topic-specific, keyword-rich.</t>
  </si>
  <si>
    <t xml:space="preserve">N/A — I'll handle this based on keyword research.</t>
  </si>
  <si>
    <t xml:space="preserve">Internal Linking</t>
  </si>
  <si>
    <t xml:space="preserve">Every page links to: (1) related service pages, (2) nearby location pages, (3) relevant blog posts. This helps Google understand your site structure and keeps visitors browsing.</t>
  </si>
  <si>
    <t xml:space="preserve">Any pages you think should link to each other that currently don't?</t>
  </si>
  <si>
    <t xml:space="preserve">Schema Markup</t>
  </si>
  <si>
    <t xml:space="preserve">Every page has structured data: Service schema, FAQPage schema, LocalBusiness, BlogPosting. This helps Google show rich results (star ratings, FAQ dropdowns, etc.).</t>
  </si>
  <si>
    <t xml:space="preserve">N/A — already implemented on all pages.</t>
  </si>
  <si>
    <t xml:space="preserve">PROJECT PROGRESS</t>
  </si>
  <si>
    <t xml:space="preserve">Count</t>
  </si>
  <si>
    <t xml:space="preserve">% of Total</t>
  </si>
  <si>
    <t xml:space="preserve">Total Tasks</t>
  </si>
  <si>
    <t xml:space="preserve">CLIENT ITEMS SUMMARY</t>
  </si>
  <si>
    <t xml:space="preserve">Total Items Needed</t>
  </si>
  <si>
    <t xml:space="preserve">Provided (Complete)</t>
  </si>
  <si>
    <t xml:space="preserve">Still Waiting</t>
  </si>
  <si>
    <t xml:space="preserve">PAGE PHOTOS &amp; CONTENT</t>
  </si>
  <si>
    <t xml:space="preserve">Total Page Items</t>
  </si>
</sst>
</file>

<file path=xl/styles.xml><?xml version="1.0" encoding="utf-8"?>
<styleSheet xmlns="http://schemas.openxmlformats.org/spreadsheetml/2006/main">
  <numFmts count="2">
    <numFmt numFmtId="164" formatCode="General"/>
    <numFmt numFmtId="165" formatCode="0%"/>
  </numFmts>
  <fonts count="27">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b val="true"/>
      <sz val="14"/>
      <color rgb="FF0B4060"/>
      <name val="Arial"/>
      <family val="0"/>
      <charset val="1"/>
    </font>
    <font>
      <b val="true"/>
      <sz val="11"/>
      <color rgb="FF0B4060"/>
      <name val="Arial"/>
      <family val="0"/>
      <charset val="1"/>
    </font>
    <font>
      <sz val="11"/>
      <color rgb="FF4A5464"/>
      <name val="Arial"/>
      <family val="0"/>
      <charset val="1"/>
    </font>
    <font>
      <b val="true"/>
      <sz val="11"/>
      <color rgb="FF4A5464"/>
      <name val="Arial"/>
      <family val="0"/>
      <charset val="1"/>
    </font>
    <font>
      <b val="true"/>
      <sz val="11"/>
      <color rgb="FFF39C12"/>
      <name val="Arial"/>
      <family val="0"/>
      <charset val="1"/>
    </font>
    <font>
      <b val="true"/>
      <sz val="11"/>
      <color rgb="FFE74C3C"/>
      <name val="Arial"/>
      <family val="0"/>
      <charset val="1"/>
    </font>
    <font>
      <b val="true"/>
      <sz val="11"/>
      <color rgb="FF27AE60"/>
      <name val="Arial"/>
      <family val="0"/>
      <charset val="1"/>
    </font>
    <font>
      <b val="true"/>
      <sz val="11"/>
      <color rgb="FFE5E3DF"/>
      <name val="Arial"/>
      <family val="0"/>
      <charset val="1"/>
    </font>
    <font>
      <b val="true"/>
      <sz val="16"/>
      <color rgb="FFFFFFFF"/>
      <name val="Arial"/>
      <family val="0"/>
      <charset val="1"/>
    </font>
    <font>
      <i val="true"/>
      <sz val="10"/>
      <color rgb="FF4A5464"/>
      <name val="Arial"/>
      <family val="0"/>
      <charset val="1"/>
    </font>
    <font>
      <b val="true"/>
      <sz val="12"/>
      <color rgb="FFFFFFFF"/>
      <name val="Arial"/>
      <family val="0"/>
      <charset val="1"/>
    </font>
    <font>
      <sz val="10"/>
      <color rgb="FF4A5464"/>
      <name val="Arial"/>
      <family val="0"/>
      <charset val="1"/>
    </font>
    <font>
      <b val="true"/>
      <sz val="10"/>
      <color rgb="FF0B4060"/>
      <name val="Arial"/>
      <family val="0"/>
      <charset val="1"/>
    </font>
    <font>
      <b val="true"/>
      <sz val="10"/>
      <color rgb="FFE74C3C"/>
      <name val="Arial"/>
      <family val="0"/>
      <charset val="1"/>
    </font>
    <font>
      <b val="true"/>
      <sz val="10"/>
      <color rgb="FFF39C12"/>
      <name val="Arial"/>
      <family val="0"/>
      <charset val="1"/>
    </font>
    <font>
      <b val="true"/>
      <sz val="11"/>
      <color rgb="FFFFFFFF"/>
      <name val="Arial"/>
      <family val="0"/>
      <charset val="1"/>
    </font>
    <font>
      <sz val="10"/>
      <color rgb="FFE1B969"/>
      <name val="Arial"/>
      <family val="0"/>
      <charset val="1"/>
    </font>
    <font>
      <b val="true"/>
      <sz val="10"/>
      <color rgb="FF27AE60"/>
      <name val="Arial"/>
      <family val="0"/>
      <charset val="1"/>
    </font>
    <font>
      <sz val="9"/>
      <color rgb="FF4A5464"/>
      <name val="Arial"/>
      <family val="0"/>
      <charset val="1"/>
    </font>
    <font>
      <sz val="9"/>
      <color rgb="FF0B4060"/>
      <name val="Arial"/>
      <family val="0"/>
      <charset val="1"/>
    </font>
    <font>
      <b val="true"/>
      <sz val="9"/>
      <color rgb="FFE74C3C"/>
      <name val="Arial"/>
      <family val="0"/>
      <charset val="1"/>
    </font>
    <font>
      <sz val="10"/>
      <color rgb="FFE74C3C"/>
      <name val="Arial"/>
      <family val="0"/>
      <charset val="1"/>
    </font>
  </fonts>
  <fills count="10">
    <fill>
      <patternFill patternType="none"/>
    </fill>
    <fill>
      <patternFill patternType="gray125"/>
    </fill>
    <fill>
      <patternFill patternType="solid">
        <fgColor rgb="FF0B4060"/>
        <bgColor rgb="FF333333"/>
      </patternFill>
    </fill>
    <fill>
      <patternFill patternType="solid">
        <fgColor rgb="FFE1B969"/>
        <bgColor rgb="FFC0C0C0"/>
      </patternFill>
    </fill>
    <fill>
      <patternFill patternType="solid">
        <fgColor rgb="FFE5E3DF"/>
        <bgColor rgb="FFE8F5E9"/>
      </patternFill>
    </fill>
    <fill>
      <patternFill patternType="solid">
        <fgColor rgb="FFFFF3CD"/>
        <bgColor rgb="FFFDEDEC"/>
      </patternFill>
    </fill>
    <fill>
      <patternFill patternType="solid">
        <fgColor rgb="FFFDEDEC"/>
        <bgColor rgb="FFFFF3CD"/>
      </patternFill>
    </fill>
    <fill>
      <patternFill patternType="solid">
        <fgColor rgb="FFE8F5E9"/>
        <bgColor rgb="FFFDEDEC"/>
      </patternFill>
    </fill>
    <fill>
      <patternFill patternType="solid">
        <fgColor rgb="FFFFFFFF"/>
        <bgColor rgb="FFFDEDEC"/>
      </patternFill>
    </fill>
    <fill>
      <patternFill patternType="solid">
        <fgColor rgb="FF4A5464"/>
        <bgColor rgb="FF333333"/>
      </patternFill>
    </fill>
  </fills>
  <borders count="3">
    <border diagonalUp="false" diagonalDown="false">
      <left/>
      <right/>
      <top/>
      <bottom/>
      <diagonal/>
    </border>
    <border diagonalUp="false" diagonalDown="false">
      <left style="thin">
        <color rgb="FFE5E3DF"/>
      </left>
      <right style="thin">
        <color rgb="FFE5E3DF"/>
      </right>
      <top style="thin">
        <color rgb="FFE5E3DF"/>
      </top>
      <bottom style="thin">
        <color rgb="FFE5E3DF"/>
      </bottom>
      <diagonal/>
    </border>
    <border diagonalUp="false" diagonalDown="false">
      <left style="thin">
        <color rgb="FFE5E3DF"/>
      </left>
      <right/>
      <top style="thin">
        <color rgb="FFE5E3DF"/>
      </top>
      <bottom style="thin">
        <color rgb="FFE5E3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3" borderId="2" xfId="0" applyFont="true" applyBorder="true" applyAlignment="true" applyProtection="false">
      <alignment horizontal="left" vertical="center" textRotation="0" wrapText="fals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5" fontId="8" fillId="7"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5" fontId="8" fillId="6"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15" fillId="3" borderId="2"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F5E9"/>
      <rgbColor rgb="FF660066"/>
      <rgbColor rgb="FFFF8080"/>
      <rgbColor rgb="FF0066CC"/>
      <rgbColor rgb="FFE5E3DF"/>
      <rgbColor rgb="FF000080"/>
      <rgbColor rgb="FFFF00FF"/>
      <rgbColor rgb="FFFFFF00"/>
      <rgbColor rgb="FF00FFFF"/>
      <rgbColor rgb="FF800080"/>
      <rgbColor rgb="FF800000"/>
      <rgbColor rgb="FF008080"/>
      <rgbColor rgb="FF0000FF"/>
      <rgbColor rgb="FF00CCFF"/>
      <rgbColor rgb="FFCCFFFF"/>
      <rgbColor rgb="FFCCFFCC"/>
      <rgbColor rgb="FFFDEDEC"/>
      <rgbColor rgb="FF99CCFF"/>
      <rgbColor rgb="FFFF99CC"/>
      <rgbColor rgb="FFCC99FF"/>
      <rgbColor rgb="FFE1B969"/>
      <rgbColor rgb="FF3366FF"/>
      <rgbColor rgb="FF33CCCC"/>
      <rgbColor rgb="FF99CC00"/>
      <rgbColor rgb="FFFFCC00"/>
      <rgbColor rgb="FFF39C12"/>
      <rgbColor rgb="FFE74C3C"/>
      <rgbColor rgb="FF4A5464"/>
      <rgbColor rgb="FF969696"/>
      <rgbColor rgb="FF0B4060"/>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060"/>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80"/>
    <col collapsed="false" customWidth="true" hidden="false" outlineLevel="0" max="6" min="3" style="0" width="15"/>
  </cols>
  <sheetData>
    <row r="1" customFormat="false" ht="49.5" hidden="false" customHeight="true" outlineLevel="0" collapsed="false">
      <c r="A1" s="1" t="s">
        <v>0</v>
      </c>
      <c r="B1" s="1"/>
      <c r="C1" s="1"/>
      <c r="D1" s="1"/>
      <c r="E1" s="1"/>
      <c r="F1" s="1"/>
    </row>
    <row r="2" customFormat="false" ht="34.5" hidden="false" customHeight="true" outlineLevel="0" collapsed="false">
      <c r="A2" s="2" t="s">
        <v>1</v>
      </c>
      <c r="B2" s="2"/>
      <c r="C2" s="2"/>
      <c r="D2" s="2"/>
      <c r="E2" s="2"/>
      <c r="F2" s="2"/>
    </row>
    <row r="4" customFormat="false" ht="15" hidden="false" customHeight="false" outlineLevel="0" collapsed="false">
      <c r="A4" s="3"/>
      <c r="B4" s="4"/>
    </row>
    <row r="5" customFormat="false" ht="15" hidden="false" customHeight="false" outlineLevel="0" collapsed="false">
      <c r="A5" s="3" t="s">
        <v>2</v>
      </c>
      <c r="B5" s="4" t="s">
        <v>3</v>
      </c>
    </row>
    <row r="6" customFormat="false" ht="15" hidden="false" customHeight="false" outlineLevel="0" collapsed="false">
      <c r="A6" s="3" t="s">
        <v>4</v>
      </c>
      <c r="B6" s="4" t="s">
        <v>5</v>
      </c>
    </row>
    <row r="7" customFormat="false" ht="26.85" hidden="false" customHeight="false" outlineLevel="0" collapsed="false">
      <c r="A7" s="3" t="s">
        <v>6</v>
      </c>
      <c r="B7" s="4" t="s">
        <v>7</v>
      </c>
    </row>
    <row r="8" customFormat="false" ht="15" hidden="false" customHeight="false" outlineLevel="0" collapsed="false">
      <c r="A8" s="3" t="s">
        <v>8</v>
      </c>
      <c r="B8" s="4" t="s">
        <v>9</v>
      </c>
    </row>
    <row r="9" customFormat="false" ht="15" hidden="false" customHeight="false" outlineLevel="0" collapsed="false">
      <c r="A9" s="3" t="s">
        <v>10</v>
      </c>
      <c r="B9" s="4"/>
    </row>
    <row r="10" customFormat="false" ht="15" hidden="false" customHeight="false" outlineLevel="0" collapsed="false">
      <c r="A10" s="3" t="s">
        <v>11</v>
      </c>
      <c r="B10" s="4"/>
    </row>
    <row r="11" customFormat="false" ht="15" hidden="false" customHeight="false" outlineLevel="0" collapsed="false">
      <c r="A11" s="3"/>
      <c r="B11" s="4"/>
    </row>
    <row r="12" customFormat="false" ht="15" hidden="false" customHeight="false" outlineLevel="0" collapsed="false">
      <c r="A12" s="3" t="s">
        <v>12</v>
      </c>
      <c r="B12" s="4"/>
    </row>
    <row r="13" customFormat="false" ht="15" hidden="false" customHeight="false" outlineLevel="0" collapsed="false">
      <c r="A13" s="3"/>
      <c r="B13" s="4"/>
    </row>
    <row r="14" customFormat="false" ht="26.85" hidden="false" customHeight="false" outlineLevel="0" collapsed="false">
      <c r="A14" s="3" t="s">
        <v>13</v>
      </c>
      <c r="B14" s="4" t="s">
        <v>14</v>
      </c>
    </row>
    <row r="15" customFormat="false" ht="15" hidden="false" customHeight="false" outlineLevel="0" collapsed="false">
      <c r="A15" s="3" t="s">
        <v>15</v>
      </c>
      <c r="B15" s="4" t="s">
        <v>16</v>
      </c>
    </row>
    <row r="16" customFormat="false" ht="26.85" hidden="false" customHeight="false" outlineLevel="0" collapsed="false">
      <c r="A16" s="3" t="s">
        <v>17</v>
      </c>
      <c r="B16" s="4" t="s">
        <v>18</v>
      </c>
    </row>
    <row r="17" customFormat="false" ht="15" hidden="false" customHeight="false" outlineLevel="0" collapsed="false">
      <c r="A17" s="3" t="s">
        <v>19</v>
      </c>
      <c r="B17" s="4" t="s">
        <v>20</v>
      </c>
    </row>
    <row r="18" customFormat="false" ht="15" hidden="false" customHeight="false" outlineLevel="0" collapsed="false">
      <c r="A18" s="3" t="s">
        <v>21</v>
      </c>
      <c r="B18" s="4" t="s">
        <v>22</v>
      </c>
    </row>
    <row r="19" customFormat="false" ht="15" hidden="false" customHeight="false" outlineLevel="0" collapsed="false">
      <c r="A19" s="3" t="s">
        <v>23</v>
      </c>
      <c r="B19" s="4" t="s">
        <v>24</v>
      </c>
    </row>
    <row r="20" customFormat="false" ht="15" hidden="false" customHeight="false" outlineLevel="0" collapsed="false">
      <c r="A20" s="3" t="s">
        <v>25</v>
      </c>
      <c r="B20" s="4" t="s">
        <v>26</v>
      </c>
    </row>
    <row r="21" customFormat="false" ht="15" hidden="false" customHeight="false" outlineLevel="0" collapsed="false">
      <c r="A21" s="3"/>
      <c r="B21" s="4"/>
    </row>
    <row r="22" customFormat="false" ht="15" hidden="false" customHeight="false" outlineLevel="0" collapsed="false">
      <c r="A22" s="3" t="s">
        <v>27</v>
      </c>
      <c r="B22" s="4"/>
    </row>
    <row r="23" customFormat="false" ht="15" hidden="false" customHeight="false" outlineLevel="0" collapsed="false">
      <c r="A23" s="3"/>
      <c r="B23" s="4"/>
    </row>
    <row r="24" customFormat="false" ht="15" hidden="false" customHeight="false" outlineLevel="0" collapsed="false">
      <c r="B24" s="5" t="s">
        <v>28</v>
      </c>
    </row>
    <row r="25" customFormat="false" ht="15" hidden="false" customHeight="false" outlineLevel="0" collapsed="false">
      <c r="B25" s="6" t="s">
        <v>29</v>
      </c>
    </row>
    <row r="26" customFormat="false" ht="15" hidden="false" customHeight="false" outlineLevel="0" collapsed="false">
      <c r="B26" s="7" t="s">
        <v>30</v>
      </c>
    </row>
    <row r="27" customFormat="false" ht="15" hidden="false" customHeight="false" outlineLevel="0" collapsed="false">
      <c r="B27" s="8" t="s">
        <v>31</v>
      </c>
    </row>
    <row r="28" customFormat="false" ht="15" hidden="false" customHeight="false" outlineLevel="0" collapsed="false">
      <c r="B28" s="9" t="s">
        <v>32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B969"/>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12"/>
    <col collapsed="false" customWidth="true" hidden="false" outlineLevel="0" max="5" min="5" style="0" width="18"/>
    <col collapsed="false" customWidth="true" hidden="false" outlineLevel="0" max="6" min="6" style="0" width="14"/>
    <col collapsed="false" customWidth="true" hidden="false" outlineLevel="0" max="7" min="7" style="0" width="35"/>
  </cols>
  <sheetData>
    <row r="1" customFormat="false" ht="39.75" hidden="false" customHeight="true" outlineLevel="0" collapsed="false">
      <c r="A1" s="10" t="s">
        <v>33</v>
      </c>
      <c r="B1" s="10"/>
      <c r="C1" s="10"/>
      <c r="D1" s="10"/>
      <c r="E1" s="10"/>
      <c r="F1" s="10"/>
      <c r="G1" s="10"/>
    </row>
    <row r="2" customFormat="false" ht="27.75" hidden="false" customHeight="true" outlineLevel="0" collapsed="false">
      <c r="A2" s="11" t="s">
        <v>34</v>
      </c>
      <c r="B2" s="11"/>
      <c r="C2" s="11"/>
      <c r="D2" s="11"/>
      <c r="E2" s="11"/>
      <c r="F2" s="11"/>
      <c r="G2" s="11"/>
    </row>
    <row r="3" customFormat="false" ht="15" hidden="false" customHeight="false" outlineLevel="0" collapsed="false">
      <c r="A3" s="12" t="s">
        <v>35</v>
      </c>
      <c r="B3" s="12" t="s">
        <v>36</v>
      </c>
      <c r="C3" s="12" t="s">
        <v>37</v>
      </c>
      <c r="D3" s="12" t="s">
        <v>38</v>
      </c>
      <c r="E3" s="12" t="s">
        <v>39</v>
      </c>
      <c r="F3" s="12" t="s">
        <v>40</v>
      </c>
      <c r="G3" s="12" t="s">
        <v>41</v>
      </c>
    </row>
    <row r="4" customFormat="false" ht="27.75" hidden="false" customHeight="true" outlineLevel="0" collapsed="false">
      <c r="A4" s="13" t="s">
        <v>42</v>
      </c>
      <c r="B4" s="13"/>
      <c r="C4" s="13"/>
      <c r="D4" s="13"/>
      <c r="E4" s="13"/>
      <c r="F4" s="13"/>
      <c r="G4" s="13"/>
    </row>
    <row r="5" customFormat="false" ht="34.5" hidden="false" customHeight="true" outlineLevel="0" collapsed="false">
      <c r="A5" s="14" t="n">
        <v>1</v>
      </c>
      <c r="B5" s="15" t="s">
        <v>43</v>
      </c>
      <c r="C5" s="16" t="s">
        <v>44</v>
      </c>
      <c r="D5" s="17" t="s">
        <v>45</v>
      </c>
      <c r="E5" s="18" t="s">
        <v>30</v>
      </c>
      <c r="F5" s="14"/>
      <c r="G5" s="16"/>
    </row>
    <row r="6" customFormat="false" ht="34.5" hidden="false" customHeight="true" outlineLevel="0" collapsed="false">
      <c r="A6" s="14" t="n">
        <v>2</v>
      </c>
      <c r="B6" s="15" t="s">
        <v>46</v>
      </c>
      <c r="C6" s="16" t="s">
        <v>47</v>
      </c>
      <c r="D6" s="17" t="s">
        <v>45</v>
      </c>
      <c r="E6" s="18" t="s">
        <v>30</v>
      </c>
      <c r="F6" s="14"/>
      <c r="G6" s="16"/>
    </row>
    <row r="7" customFormat="false" ht="34.5" hidden="false" customHeight="true" outlineLevel="0" collapsed="false">
      <c r="A7" s="14" t="n">
        <v>3</v>
      </c>
      <c r="B7" s="15" t="s">
        <v>48</v>
      </c>
      <c r="C7" s="16" t="s">
        <v>49</v>
      </c>
      <c r="D7" s="17" t="s">
        <v>45</v>
      </c>
      <c r="E7" s="18" t="s">
        <v>30</v>
      </c>
      <c r="F7" s="14"/>
      <c r="G7" s="16"/>
    </row>
    <row r="8" customFormat="false" ht="34.5" hidden="false" customHeight="true" outlineLevel="0" collapsed="false">
      <c r="A8" s="14" t="n">
        <v>4</v>
      </c>
      <c r="B8" s="15" t="s">
        <v>50</v>
      </c>
      <c r="C8" s="16" t="s">
        <v>51</v>
      </c>
      <c r="D8" s="17" t="s">
        <v>45</v>
      </c>
      <c r="E8" s="18" t="s">
        <v>30</v>
      </c>
      <c r="F8" s="14"/>
      <c r="G8" s="16"/>
    </row>
    <row r="9" customFormat="false" ht="34.5" hidden="false" customHeight="true" outlineLevel="0" collapsed="false">
      <c r="A9" s="14" t="n">
        <v>5</v>
      </c>
      <c r="B9" s="15" t="s">
        <v>52</v>
      </c>
      <c r="C9" s="16" t="s">
        <v>53</v>
      </c>
      <c r="D9" s="17" t="s">
        <v>45</v>
      </c>
      <c r="E9" s="18" t="s">
        <v>30</v>
      </c>
      <c r="F9" s="14"/>
      <c r="G9" s="16"/>
    </row>
    <row r="10" customFormat="false" ht="34.5" hidden="false" customHeight="true" outlineLevel="0" collapsed="false">
      <c r="A10" s="14" t="n">
        <v>6</v>
      </c>
      <c r="B10" s="15" t="s">
        <v>54</v>
      </c>
      <c r="C10" s="16" t="s">
        <v>55</v>
      </c>
      <c r="D10" s="19" t="s">
        <v>56</v>
      </c>
      <c r="E10" s="18" t="s">
        <v>30</v>
      </c>
      <c r="F10" s="14"/>
      <c r="G10" s="16"/>
    </row>
    <row r="11" customFormat="false" ht="34.5" hidden="false" customHeight="true" outlineLevel="0" collapsed="false">
      <c r="A11" s="14" t="n">
        <v>7</v>
      </c>
      <c r="B11" s="15" t="s">
        <v>57</v>
      </c>
      <c r="C11" s="16" t="s">
        <v>58</v>
      </c>
      <c r="D11" s="19" t="s">
        <v>56</v>
      </c>
      <c r="E11" s="18" t="s">
        <v>30</v>
      </c>
      <c r="F11" s="14"/>
      <c r="G11" s="16"/>
    </row>
    <row r="12" customFormat="false" ht="27.75" hidden="false" customHeight="true" outlineLevel="0" collapsed="false">
      <c r="A12" s="13" t="s">
        <v>59</v>
      </c>
      <c r="B12" s="13"/>
      <c r="C12" s="13"/>
      <c r="D12" s="13"/>
      <c r="E12" s="13"/>
      <c r="F12" s="13"/>
      <c r="G12" s="13"/>
    </row>
    <row r="13" customFormat="false" ht="34.5" hidden="false" customHeight="true" outlineLevel="0" collapsed="false">
      <c r="A13" s="14" t="n">
        <v>8</v>
      </c>
      <c r="B13" s="15" t="s">
        <v>60</v>
      </c>
      <c r="C13" s="16" t="s">
        <v>61</v>
      </c>
      <c r="D13" s="17" t="s">
        <v>45</v>
      </c>
      <c r="E13" s="18" t="s">
        <v>30</v>
      </c>
      <c r="F13" s="14"/>
      <c r="G13" s="16"/>
    </row>
    <row r="14" customFormat="false" ht="34.5" hidden="false" customHeight="true" outlineLevel="0" collapsed="false">
      <c r="A14" s="14" t="n">
        <v>9</v>
      </c>
      <c r="B14" s="15" t="s">
        <v>62</v>
      </c>
      <c r="C14" s="16" t="s">
        <v>63</v>
      </c>
      <c r="D14" s="19" t="s">
        <v>56</v>
      </c>
      <c r="E14" s="18" t="s">
        <v>30</v>
      </c>
      <c r="F14" s="14"/>
      <c r="G14" s="16"/>
    </row>
    <row r="15" customFormat="false" ht="34.5" hidden="false" customHeight="true" outlineLevel="0" collapsed="false">
      <c r="A15" s="14" t="n">
        <v>10</v>
      </c>
      <c r="B15" s="15" t="s">
        <v>64</v>
      </c>
      <c r="C15" s="16" t="s">
        <v>65</v>
      </c>
      <c r="D15" s="17" t="s">
        <v>45</v>
      </c>
      <c r="E15" s="18" t="s">
        <v>30</v>
      </c>
      <c r="F15" s="14"/>
      <c r="G15" s="16"/>
    </row>
    <row r="16" customFormat="false" ht="34.5" hidden="false" customHeight="true" outlineLevel="0" collapsed="false">
      <c r="A16" s="14" t="n">
        <v>11</v>
      </c>
      <c r="B16" s="15" t="s">
        <v>66</v>
      </c>
      <c r="C16" s="16" t="s">
        <v>67</v>
      </c>
      <c r="D16" s="14" t="s">
        <v>68</v>
      </c>
      <c r="E16" s="18" t="s">
        <v>30</v>
      </c>
      <c r="F16" s="14"/>
      <c r="G16" s="16"/>
    </row>
    <row r="17" customFormat="false" ht="27.75" hidden="false" customHeight="true" outlineLevel="0" collapsed="false">
      <c r="A17" s="13" t="s">
        <v>69</v>
      </c>
      <c r="B17" s="13"/>
      <c r="C17" s="13"/>
      <c r="D17" s="13"/>
      <c r="E17" s="13"/>
      <c r="F17" s="13"/>
      <c r="G17" s="13"/>
    </row>
    <row r="18" customFormat="false" ht="34.5" hidden="false" customHeight="true" outlineLevel="0" collapsed="false">
      <c r="A18" s="14" t="n">
        <v>12</v>
      </c>
      <c r="B18" s="15" t="s">
        <v>70</v>
      </c>
      <c r="C18" s="16" t="s">
        <v>71</v>
      </c>
      <c r="D18" s="17" t="s">
        <v>45</v>
      </c>
      <c r="E18" s="18" t="s">
        <v>30</v>
      </c>
      <c r="F18" s="14"/>
      <c r="G18" s="16"/>
    </row>
    <row r="19" customFormat="false" ht="34.5" hidden="false" customHeight="true" outlineLevel="0" collapsed="false">
      <c r="A19" s="14" t="n">
        <v>13</v>
      </c>
      <c r="B19" s="15" t="s">
        <v>72</v>
      </c>
      <c r="C19" s="16" t="s">
        <v>73</v>
      </c>
      <c r="D19" s="17" t="s">
        <v>45</v>
      </c>
      <c r="E19" s="18" t="s">
        <v>30</v>
      </c>
      <c r="F19" s="14"/>
      <c r="G19" s="16"/>
    </row>
    <row r="20" customFormat="false" ht="34.5" hidden="false" customHeight="true" outlineLevel="0" collapsed="false">
      <c r="A20" s="14" t="n">
        <v>14</v>
      </c>
      <c r="B20" s="15" t="s">
        <v>74</v>
      </c>
      <c r="C20" s="16" t="s">
        <v>75</v>
      </c>
      <c r="D20" s="17" t="s">
        <v>45</v>
      </c>
      <c r="E20" s="18" t="s">
        <v>30</v>
      </c>
      <c r="F20" s="14"/>
      <c r="G20" s="16"/>
    </row>
    <row r="21" customFormat="false" ht="34.5" hidden="false" customHeight="true" outlineLevel="0" collapsed="false">
      <c r="A21" s="14" t="n">
        <v>15</v>
      </c>
      <c r="B21" s="15" t="s">
        <v>76</v>
      </c>
      <c r="C21" s="16" t="s">
        <v>77</v>
      </c>
      <c r="D21" s="19" t="s">
        <v>56</v>
      </c>
      <c r="E21" s="18" t="s">
        <v>30</v>
      </c>
      <c r="F21" s="14"/>
      <c r="G21" s="16"/>
    </row>
    <row r="22" customFormat="false" ht="34.5" hidden="false" customHeight="true" outlineLevel="0" collapsed="false">
      <c r="A22" s="14" t="n">
        <v>16</v>
      </c>
      <c r="B22" s="15" t="s">
        <v>78</v>
      </c>
      <c r="C22" s="16" t="s">
        <v>79</v>
      </c>
      <c r="D22" s="19" t="s">
        <v>56</v>
      </c>
      <c r="E22" s="18" t="s">
        <v>30</v>
      </c>
      <c r="F22" s="14"/>
      <c r="G22" s="16"/>
    </row>
    <row r="23" customFormat="false" ht="34.5" hidden="false" customHeight="true" outlineLevel="0" collapsed="false">
      <c r="A23" s="14" t="n">
        <v>17</v>
      </c>
      <c r="B23" s="15" t="s">
        <v>80</v>
      </c>
      <c r="C23" s="16" t="s">
        <v>81</v>
      </c>
      <c r="D23" s="19" t="s">
        <v>56</v>
      </c>
      <c r="E23" s="18" t="s">
        <v>30</v>
      </c>
      <c r="F23" s="14"/>
      <c r="G23" s="16"/>
    </row>
    <row r="24" customFormat="false" ht="34.5" hidden="false" customHeight="true" outlineLevel="0" collapsed="false">
      <c r="A24" s="14" t="n">
        <v>18</v>
      </c>
      <c r="B24" s="15" t="s">
        <v>82</v>
      </c>
      <c r="C24" s="16" t="s">
        <v>83</v>
      </c>
      <c r="D24" s="14" t="s">
        <v>68</v>
      </c>
      <c r="E24" s="18" t="s">
        <v>30</v>
      </c>
      <c r="F24" s="14"/>
      <c r="G24" s="16"/>
    </row>
    <row r="25" customFormat="false" ht="27.75" hidden="false" customHeight="true" outlineLevel="0" collapsed="false">
      <c r="A25" s="13" t="s">
        <v>84</v>
      </c>
      <c r="B25" s="13"/>
      <c r="C25" s="13"/>
      <c r="D25" s="13"/>
      <c r="E25" s="13"/>
      <c r="F25" s="13"/>
      <c r="G25" s="13"/>
    </row>
    <row r="26" customFormat="false" ht="34.5" hidden="false" customHeight="true" outlineLevel="0" collapsed="false">
      <c r="A26" s="14" t="n">
        <v>19</v>
      </c>
      <c r="B26" s="15" t="s">
        <v>85</v>
      </c>
      <c r="C26" s="16" t="s">
        <v>86</v>
      </c>
      <c r="D26" s="17" t="s">
        <v>45</v>
      </c>
      <c r="E26" s="18" t="s">
        <v>30</v>
      </c>
      <c r="F26" s="14"/>
      <c r="G26" s="16"/>
    </row>
    <row r="27" customFormat="false" ht="34.5" hidden="false" customHeight="true" outlineLevel="0" collapsed="false">
      <c r="A27" s="14" t="n">
        <v>20</v>
      </c>
      <c r="B27" s="15" t="s">
        <v>87</v>
      </c>
      <c r="C27" s="16" t="s">
        <v>88</v>
      </c>
      <c r="D27" s="17" t="s">
        <v>45</v>
      </c>
      <c r="E27" s="18" t="s">
        <v>30</v>
      </c>
      <c r="F27" s="14"/>
      <c r="G27" s="16"/>
    </row>
    <row r="28" customFormat="false" ht="34.5" hidden="false" customHeight="true" outlineLevel="0" collapsed="false">
      <c r="A28" s="14" t="n">
        <v>21</v>
      </c>
      <c r="B28" s="15" t="s">
        <v>89</v>
      </c>
      <c r="C28" s="16" t="s">
        <v>90</v>
      </c>
      <c r="D28" s="19" t="s">
        <v>56</v>
      </c>
      <c r="E28" s="18" t="s">
        <v>30</v>
      </c>
      <c r="F28" s="14"/>
      <c r="G28" s="16"/>
    </row>
    <row r="29" customFormat="false" ht="34.5" hidden="false" customHeight="true" outlineLevel="0" collapsed="false">
      <c r="A29" s="14" t="n">
        <v>22</v>
      </c>
      <c r="B29" s="15" t="s">
        <v>91</v>
      </c>
      <c r="C29" s="16" t="s">
        <v>92</v>
      </c>
      <c r="D29" s="14" t="s">
        <v>68</v>
      </c>
      <c r="E29" s="18" t="s">
        <v>30</v>
      </c>
      <c r="F29" s="14"/>
      <c r="G29" s="16"/>
    </row>
    <row r="30" customFormat="false" ht="27.75" hidden="false" customHeight="true" outlineLevel="0" collapsed="false">
      <c r="A30" s="13" t="s">
        <v>93</v>
      </c>
      <c r="B30" s="13"/>
      <c r="C30" s="13"/>
      <c r="D30" s="13"/>
      <c r="E30" s="13"/>
      <c r="F30" s="13"/>
      <c r="G30" s="13"/>
    </row>
    <row r="31" customFormat="false" ht="34.5" hidden="false" customHeight="true" outlineLevel="0" collapsed="false">
      <c r="A31" s="14" t="n">
        <v>23</v>
      </c>
      <c r="B31" s="15" t="s">
        <v>94</v>
      </c>
      <c r="C31" s="16" t="s">
        <v>95</v>
      </c>
      <c r="D31" s="17" t="s">
        <v>45</v>
      </c>
      <c r="E31" s="18" t="s">
        <v>30</v>
      </c>
      <c r="F31" s="14"/>
      <c r="G31" s="16"/>
    </row>
    <row r="32" customFormat="false" ht="34.5" hidden="false" customHeight="true" outlineLevel="0" collapsed="false">
      <c r="A32" s="14" t="n">
        <v>24</v>
      </c>
      <c r="B32" s="15" t="s">
        <v>96</v>
      </c>
      <c r="C32" s="16" t="s">
        <v>97</v>
      </c>
      <c r="D32" s="19" t="s">
        <v>56</v>
      </c>
      <c r="E32" s="18" t="s">
        <v>30</v>
      </c>
      <c r="F32" s="14"/>
      <c r="G32" s="16"/>
    </row>
    <row r="33" customFormat="false" ht="34.5" hidden="false" customHeight="true" outlineLevel="0" collapsed="false">
      <c r="A33" s="14" t="n">
        <v>25</v>
      </c>
      <c r="B33" s="15" t="s">
        <v>98</v>
      </c>
      <c r="C33" s="16" t="s">
        <v>99</v>
      </c>
      <c r="D33" s="14" t="s">
        <v>68</v>
      </c>
      <c r="E33" s="18" t="s">
        <v>30</v>
      </c>
      <c r="F33" s="14"/>
      <c r="G33" s="16"/>
    </row>
  </sheetData>
  <mergeCells count="7">
    <mergeCell ref="A1:G1"/>
    <mergeCell ref="A2:G2"/>
    <mergeCell ref="A4:G4"/>
    <mergeCell ref="A12:G12"/>
    <mergeCell ref="A17:G17"/>
    <mergeCell ref="A25:G25"/>
    <mergeCell ref="A30:G30"/>
  </mergeCells>
  <dataValidations count="1">
    <dataValidation allowBlank="true" error="Please select a valid status" errorStyle="stop" errorTitle="Invalid Status" operator="between" showDropDown="false" showErrorMessage="false" showInputMessage="false" sqref="E5:E11 E13:E16 E18:E24 E26:E29 E31:E33" type="list">
      <formula1>"Not Started,In Progress,Waiting on Client,Complete,N/A"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060"/>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45"/>
    <col collapsed="false" customWidth="true" hidden="false" outlineLevel="0" max="5" min="5" style="0" width="18"/>
    <col collapsed="false" customWidth="true" hidden="false" outlineLevel="0" max="7" min="6" style="0" width="14"/>
    <col collapsed="false" customWidth="true" hidden="false" outlineLevel="0" max="8" min="8" style="0" width="30"/>
  </cols>
  <sheetData>
    <row r="1" customFormat="false" ht="39.75" hidden="false" customHeight="true" outlineLevel="0" collapsed="false">
      <c r="A1" s="10" t="s">
        <v>100</v>
      </c>
      <c r="B1" s="10"/>
      <c r="C1" s="10"/>
      <c r="D1" s="10"/>
      <c r="E1" s="10"/>
      <c r="F1" s="10"/>
      <c r="G1" s="10"/>
      <c r="H1" s="10"/>
    </row>
    <row r="2" customFormat="false" ht="15" hidden="false" customHeight="false" outlineLevel="0" collapsed="false">
      <c r="A2" s="11" t="s">
        <v>101</v>
      </c>
      <c r="B2" s="11"/>
      <c r="C2" s="11"/>
      <c r="D2" s="11"/>
      <c r="E2" s="11"/>
      <c r="F2" s="11"/>
      <c r="G2" s="11"/>
      <c r="H2" s="11"/>
    </row>
    <row r="3" customFormat="false" ht="15" hidden="false" customHeight="false" outlineLevel="0" collapsed="false">
      <c r="A3" s="12" t="s">
        <v>35</v>
      </c>
      <c r="B3" s="12" t="s">
        <v>102</v>
      </c>
      <c r="C3" s="12" t="s">
        <v>103</v>
      </c>
      <c r="D3" s="12" t="s">
        <v>104</v>
      </c>
      <c r="E3" s="12" t="s">
        <v>39</v>
      </c>
      <c r="F3" s="12" t="s">
        <v>105</v>
      </c>
      <c r="G3" s="12" t="s">
        <v>40</v>
      </c>
      <c r="H3" s="12" t="s">
        <v>106</v>
      </c>
    </row>
    <row r="4" customFormat="false" ht="30" hidden="false" customHeight="true" outlineLevel="0" collapsed="false">
      <c r="A4" s="20" t="s">
        <v>107</v>
      </c>
      <c r="B4" s="20"/>
      <c r="C4" s="20"/>
      <c r="D4" s="20"/>
      <c r="E4" s="20"/>
      <c r="F4" s="20"/>
      <c r="G4" s="20"/>
      <c r="H4" s="20"/>
    </row>
    <row r="5" customFormat="false" ht="31.5" hidden="false" customHeight="true" outlineLevel="0" collapsed="false">
      <c r="A5" s="14" t="n">
        <v>1</v>
      </c>
      <c r="B5" s="21" t="s">
        <v>108</v>
      </c>
      <c r="C5" s="15" t="s">
        <v>109</v>
      </c>
      <c r="D5" s="16" t="s">
        <v>110</v>
      </c>
      <c r="E5" s="22" t="s">
        <v>31</v>
      </c>
      <c r="F5" s="19" t="s">
        <v>111</v>
      </c>
      <c r="G5" s="14"/>
      <c r="H5" s="16"/>
    </row>
    <row r="6" customFormat="false" ht="31.5" hidden="false" customHeight="true" outlineLevel="0" collapsed="false">
      <c r="A6" s="14" t="n">
        <v>2</v>
      </c>
      <c r="B6" s="21" t="s">
        <v>108</v>
      </c>
      <c r="C6" s="15" t="s">
        <v>112</v>
      </c>
      <c r="D6" s="16" t="s">
        <v>113</v>
      </c>
      <c r="E6" s="23" t="s">
        <v>29</v>
      </c>
      <c r="F6" s="17" t="s">
        <v>114</v>
      </c>
      <c r="G6" s="14"/>
      <c r="H6" s="16"/>
    </row>
    <row r="7" customFormat="false" ht="31.5" hidden="false" customHeight="true" outlineLevel="0" collapsed="false">
      <c r="A7" s="14" t="n">
        <v>3</v>
      </c>
      <c r="B7" s="21" t="s">
        <v>108</v>
      </c>
      <c r="C7" s="15" t="s">
        <v>115</v>
      </c>
      <c r="D7" s="16" t="s">
        <v>116</v>
      </c>
      <c r="E7" s="22" t="s">
        <v>31</v>
      </c>
      <c r="F7" s="14" t="s">
        <v>117</v>
      </c>
      <c r="G7" s="14"/>
      <c r="H7" s="16"/>
    </row>
    <row r="8" customFormat="false" ht="31.5" hidden="false" customHeight="true" outlineLevel="0" collapsed="false">
      <c r="A8" s="14" t="n">
        <v>4</v>
      </c>
      <c r="B8" s="21" t="s">
        <v>108</v>
      </c>
      <c r="C8" s="15" t="s">
        <v>118</v>
      </c>
      <c r="D8" s="16" t="s">
        <v>119</v>
      </c>
      <c r="E8" s="22" t="s">
        <v>31</v>
      </c>
      <c r="F8" s="14" t="s">
        <v>117</v>
      </c>
      <c r="G8" s="14"/>
      <c r="H8" s="16"/>
    </row>
    <row r="9" customFormat="false" ht="31.5" hidden="false" customHeight="true" outlineLevel="0" collapsed="false">
      <c r="A9" s="14" t="n">
        <v>5</v>
      </c>
      <c r="B9" s="21" t="s">
        <v>108</v>
      </c>
      <c r="C9" s="15" t="s">
        <v>120</v>
      </c>
      <c r="D9" s="16" t="s">
        <v>121</v>
      </c>
      <c r="E9" s="23" t="s">
        <v>29</v>
      </c>
      <c r="F9" s="19" t="s">
        <v>111</v>
      </c>
      <c r="G9" s="14"/>
      <c r="H9" s="16"/>
    </row>
    <row r="10" customFormat="false" ht="30" hidden="false" customHeight="true" outlineLevel="0" collapsed="false">
      <c r="A10" s="20" t="s">
        <v>122</v>
      </c>
      <c r="B10" s="20"/>
      <c r="C10" s="20"/>
      <c r="D10" s="20"/>
      <c r="E10" s="20"/>
      <c r="F10" s="20"/>
      <c r="G10" s="20"/>
      <c r="H10" s="20"/>
    </row>
    <row r="11" customFormat="false" ht="31.5" hidden="false" customHeight="true" outlineLevel="0" collapsed="false">
      <c r="A11" s="14" t="n">
        <v>6</v>
      </c>
      <c r="B11" s="21" t="s">
        <v>123</v>
      </c>
      <c r="C11" s="15" t="s">
        <v>124</v>
      </c>
      <c r="D11" s="16" t="s">
        <v>125</v>
      </c>
      <c r="E11" s="22" t="s">
        <v>31</v>
      </c>
      <c r="F11" s="14" t="s">
        <v>117</v>
      </c>
      <c r="G11" s="14"/>
      <c r="H11" s="16"/>
    </row>
    <row r="12" customFormat="false" ht="31.5" hidden="false" customHeight="true" outlineLevel="0" collapsed="false">
      <c r="A12" s="14" t="n">
        <v>7</v>
      </c>
      <c r="B12" s="21" t="s">
        <v>123</v>
      </c>
      <c r="C12" s="15" t="s">
        <v>126</v>
      </c>
      <c r="D12" s="16" t="s">
        <v>127</v>
      </c>
      <c r="E12" s="22" t="s">
        <v>31</v>
      </c>
      <c r="F12" s="14" t="s">
        <v>117</v>
      </c>
      <c r="G12" s="14"/>
      <c r="H12" s="16"/>
    </row>
    <row r="13" customFormat="false" ht="31.5" hidden="false" customHeight="true" outlineLevel="0" collapsed="false">
      <c r="A13" s="14" t="n">
        <v>8</v>
      </c>
      <c r="B13" s="21" t="s">
        <v>123</v>
      </c>
      <c r="C13" s="15" t="s">
        <v>128</v>
      </c>
      <c r="D13" s="16" t="s">
        <v>129</v>
      </c>
      <c r="E13" s="22" t="s">
        <v>31</v>
      </c>
      <c r="F13" s="14" t="s">
        <v>117</v>
      </c>
      <c r="G13" s="14"/>
      <c r="H13" s="16"/>
    </row>
    <row r="14" customFormat="false" ht="31.5" hidden="false" customHeight="true" outlineLevel="0" collapsed="false">
      <c r="A14" s="14" t="n">
        <v>9</v>
      </c>
      <c r="B14" s="21" t="s">
        <v>123</v>
      </c>
      <c r="C14" s="15" t="s">
        <v>130</v>
      </c>
      <c r="D14" s="16" t="s">
        <v>131</v>
      </c>
      <c r="E14" s="23" t="s">
        <v>29</v>
      </c>
      <c r="F14" s="14" t="s">
        <v>117</v>
      </c>
      <c r="G14" s="14"/>
      <c r="H14" s="16"/>
    </row>
    <row r="15" customFormat="false" ht="31.5" hidden="false" customHeight="true" outlineLevel="0" collapsed="false">
      <c r="A15" s="14" t="n">
        <v>10</v>
      </c>
      <c r="B15" s="21" t="s">
        <v>123</v>
      </c>
      <c r="C15" s="15" t="s">
        <v>132</v>
      </c>
      <c r="D15" s="16" t="s">
        <v>133</v>
      </c>
      <c r="E15" s="18" t="s">
        <v>30</v>
      </c>
      <c r="F15" s="17" t="s">
        <v>114</v>
      </c>
      <c r="G15" s="14"/>
      <c r="H15" s="16"/>
    </row>
    <row r="16" customFormat="false" ht="30" hidden="false" customHeight="true" outlineLevel="0" collapsed="false">
      <c r="A16" s="20" t="s">
        <v>134</v>
      </c>
      <c r="B16" s="20"/>
      <c r="C16" s="20"/>
      <c r="D16" s="20"/>
      <c r="E16" s="20"/>
      <c r="F16" s="20"/>
      <c r="G16" s="20"/>
      <c r="H16" s="20"/>
    </row>
    <row r="17" customFormat="false" ht="31.5" hidden="false" customHeight="true" outlineLevel="0" collapsed="false">
      <c r="A17" s="14" t="n">
        <v>11</v>
      </c>
      <c r="B17" s="21" t="s">
        <v>135</v>
      </c>
      <c r="C17" s="15" t="s">
        <v>136</v>
      </c>
      <c r="D17" s="16" t="s">
        <v>137</v>
      </c>
      <c r="E17" s="22" t="s">
        <v>31</v>
      </c>
      <c r="F17" s="14" t="s">
        <v>117</v>
      </c>
      <c r="G17" s="14"/>
      <c r="H17" s="16"/>
    </row>
    <row r="18" customFormat="false" ht="31.5" hidden="false" customHeight="true" outlineLevel="0" collapsed="false">
      <c r="A18" s="14" t="n">
        <v>12</v>
      </c>
      <c r="B18" s="21" t="s">
        <v>135</v>
      </c>
      <c r="C18" s="15" t="s">
        <v>138</v>
      </c>
      <c r="D18" s="16" t="s">
        <v>139</v>
      </c>
      <c r="E18" s="23" t="s">
        <v>29</v>
      </c>
      <c r="F18" s="14" t="s">
        <v>117</v>
      </c>
      <c r="G18" s="14"/>
      <c r="H18" s="16"/>
    </row>
    <row r="19" customFormat="false" ht="31.5" hidden="false" customHeight="true" outlineLevel="0" collapsed="false">
      <c r="A19" s="14" t="n">
        <v>13</v>
      </c>
      <c r="B19" s="21" t="s">
        <v>135</v>
      </c>
      <c r="C19" s="15" t="s">
        <v>140</v>
      </c>
      <c r="D19" s="16" t="s">
        <v>141</v>
      </c>
      <c r="E19" s="23" t="s">
        <v>29</v>
      </c>
      <c r="F19" s="14" t="s">
        <v>117</v>
      </c>
      <c r="G19" s="14"/>
      <c r="H19" s="16"/>
    </row>
    <row r="20" customFormat="false" ht="31.5" hidden="false" customHeight="true" outlineLevel="0" collapsed="false">
      <c r="A20" s="14" t="n">
        <v>14</v>
      </c>
      <c r="B20" s="21" t="s">
        <v>135</v>
      </c>
      <c r="C20" s="15" t="s">
        <v>142</v>
      </c>
      <c r="D20" s="16" t="s">
        <v>143</v>
      </c>
      <c r="E20" s="23" t="s">
        <v>29</v>
      </c>
      <c r="F20" s="14" t="s">
        <v>117</v>
      </c>
      <c r="G20" s="14"/>
      <c r="H20" s="16"/>
    </row>
    <row r="21" customFormat="false" ht="31.5" hidden="false" customHeight="true" outlineLevel="0" collapsed="false">
      <c r="A21" s="14" t="n">
        <v>15</v>
      </c>
      <c r="B21" s="21" t="s">
        <v>135</v>
      </c>
      <c r="C21" s="15" t="s">
        <v>144</v>
      </c>
      <c r="D21" s="16" t="s">
        <v>145</v>
      </c>
      <c r="E21" s="18" t="s">
        <v>30</v>
      </c>
      <c r="F21" s="19" t="s">
        <v>111</v>
      </c>
      <c r="G21" s="14"/>
      <c r="H21" s="16"/>
    </row>
    <row r="22" customFormat="false" ht="31.5" hidden="false" customHeight="true" outlineLevel="0" collapsed="false">
      <c r="A22" s="14" t="n">
        <v>16</v>
      </c>
      <c r="B22" s="21" t="s">
        <v>135</v>
      </c>
      <c r="C22" s="15" t="s">
        <v>146</v>
      </c>
      <c r="D22" s="16" t="s">
        <v>147</v>
      </c>
      <c r="E22" s="23" t="s">
        <v>29</v>
      </c>
      <c r="F22" s="14" t="s">
        <v>117</v>
      </c>
      <c r="G22" s="14"/>
      <c r="H22" s="16"/>
    </row>
    <row r="23" customFormat="false" ht="31.5" hidden="false" customHeight="true" outlineLevel="0" collapsed="false">
      <c r="A23" s="14" t="n">
        <v>17</v>
      </c>
      <c r="B23" s="21" t="s">
        <v>135</v>
      </c>
      <c r="C23" s="15" t="s">
        <v>148</v>
      </c>
      <c r="D23" s="16" t="s">
        <v>149</v>
      </c>
      <c r="E23" s="24" t="s">
        <v>28</v>
      </c>
      <c r="F23" s="17" t="s">
        <v>114</v>
      </c>
      <c r="G23" s="14"/>
      <c r="H23" s="16"/>
    </row>
    <row r="24" customFormat="false" ht="30" hidden="false" customHeight="true" outlineLevel="0" collapsed="false">
      <c r="A24" s="20" t="s">
        <v>150</v>
      </c>
      <c r="B24" s="20"/>
      <c r="C24" s="20"/>
      <c r="D24" s="20"/>
      <c r="E24" s="20"/>
      <c r="F24" s="20"/>
      <c r="G24" s="20"/>
      <c r="H24" s="20"/>
    </row>
    <row r="25" customFormat="false" ht="31.5" hidden="false" customHeight="true" outlineLevel="0" collapsed="false">
      <c r="A25" s="14" t="n">
        <v>18</v>
      </c>
      <c r="B25" s="21" t="s">
        <v>151</v>
      </c>
      <c r="C25" s="15" t="s">
        <v>152</v>
      </c>
      <c r="D25" s="16" t="s">
        <v>153</v>
      </c>
      <c r="E25" s="22" t="s">
        <v>31</v>
      </c>
      <c r="F25" s="14" t="s">
        <v>117</v>
      </c>
      <c r="G25" s="14"/>
      <c r="H25" s="16"/>
    </row>
    <row r="26" customFormat="false" ht="31.5" hidden="false" customHeight="true" outlineLevel="0" collapsed="false">
      <c r="A26" s="14" t="n">
        <v>19</v>
      </c>
      <c r="B26" s="21" t="s">
        <v>151</v>
      </c>
      <c r="C26" s="15" t="s">
        <v>154</v>
      </c>
      <c r="D26" s="16" t="s">
        <v>155</v>
      </c>
      <c r="E26" s="22" t="s">
        <v>31</v>
      </c>
      <c r="F26" s="14" t="s">
        <v>117</v>
      </c>
      <c r="G26" s="14"/>
      <c r="H26" s="16"/>
    </row>
    <row r="27" customFormat="false" ht="31.5" hidden="false" customHeight="true" outlineLevel="0" collapsed="false">
      <c r="A27" s="14" t="n">
        <v>20</v>
      </c>
      <c r="B27" s="21" t="s">
        <v>151</v>
      </c>
      <c r="C27" s="15" t="s">
        <v>156</v>
      </c>
      <c r="D27" s="16" t="s">
        <v>157</v>
      </c>
      <c r="E27" s="22" t="s">
        <v>31</v>
      </c>
      <c r="F27" s="14" t="s">
        <v>117</v>
      </c>
      <c r="G27" s="14"/>
      <c r="H27" s="16"/>
    </row>
    <row r="28" customFormat="false" ht="31.5" hidden="false" customHeight="true" outlineLevel="0" collapsed="false">
      <c r="A28" s="14" t="n">
        <v>21</v>
      </c>
      <c r="B28" s="21" t="s">
        <v>151</v>
      </c>
      <c r="C28" s="15" t="s">
        <v>158</v>
      </c>
      <c r="D28" s="16" t="s">
        <v>159</v>
      </c>
      <c r="E28" s="22" t="s">
        <v>31</v>
      </c>
      <c r="F28" s="14" t="s">
        <v>117</v>
      </c>
      <c r="G28" s="14"/>
      <c r="H28" s="16"/>
    </row>
    <row r="29" customFormat="false" ht="31.5" hidden="false" customHeight="true" outlineLevel="0" collapsed="false">
      <c r="A29" s="14" t="n">
        <v>22</v>
      </c>
      <c r="B29" s="21" t="s">
        <v>151</v>
      </c>
      <c r="C29" s="15" t="s">
        <v>160</v>
      </c>
      <c r="D29" s="16" t="s">
        <v>161</v>
      </c>
      <c r="E29" s="22" t="s">
        <v>31</v>
      </c>
      <c r="F29" s="14" t="s">
        <v>117</v>
      </c>
      <c r="G29" s="14"/>
      <c r="H29" s="16"/>
    </row>
    <row r="30" customFormat="false" ht="31.5" hidden="false" customHeight="true" outlineLevel="0" collapsed="false">
      <c r="A30" s="14" t="n">
        <v>23</v>
      </c>
      <c r="B30" s="21" t="s">
        <v>151</v>
      </c>
      <c r="C30" s="15" t="s">
        <v>162</v>
      </c>
      <c r="D30" s="16" t="s">
        <v>163</v>
      </c>
      <c r="E30" s="23" t="s">
        <v>29</v>
      </c>
      <c r="F30" s="14" t="s">
        <v>117</v>
      </c>
      <c r="G30" s="14"/>
      <c r="H30" s="16"/>
    </row>
    <row r="31" customFormat="false" ht="31.5" hidden="false" customHeight="true" outlineLevel="0" collapsed="false">
      <c r="A31" s="14" t="n">
        <v>24</v>
      </c>
      <c r="B31" s="21" t="s">
        <v>151</v>
      </c>
      <c r="C31" s="15" t="s">
        <v>164</v>
      </c>
      <c r="D31" s="16" t="s">
        <v>165</v>
      </c>
      <c r="E31" s="23" t="s">
        <v>29</v>
      </c>
      <c r="F31" s="14" t="s">
        <v>117</v>
      </c>
      <c r="G31" s="14"/>
      <c r="H31" s="16"/>
    </row>
    <row r="32" customFormat="false" ht="31.5" hidden="false" customHeight="true" outlineLevel="0" collapsed="false">
      <c r="A32" s="14" t="n">
        <v>25</v>
      </c>
      <c r="B32" s="21" t="s">
        <v>151</v>
      </c>
      <c r="C32" s="15" t="s">
        <v>166</v>
      </c>
      <c r="D32" s="16" t="s">
        <v>167</v>
      </c>
      <c r="E32" s="22" t="s">
        <v>31</v>
      </c>
      <c r="F32" s="14" t="s">
        <v>117</v>
      </c>
      <c r="G32" s="14"/>
      <c r="H32" s="16"/>
    </row>
    <row r="33" customFormat="false" ht="31.5" hidden="false" customHeight="true" outlineLevel="0" collapsed="false">
      <c r="A33" s="14" t="n">
        <v>26</v>
      </c>
      <c r="B33" s="21" t="s">
        <v>151</v>
      </c>
      <c r="C33" s="15" t="s">
        <v>168</v>
      </c>
      <c r="D33" s="16" t="s">
        <v>169</v>
      </c>
      <c r="E33" s="22" t="s">
        <v>31</v>
      </c>
      <c r="F33" s="14" t="s">
        <v>117</v>
      </c>
      <c r="G33" s="14"/>
      <c r="H33" s="16"/>
    </row>
    <row r="34" customFormat="false" ht="30" hidden="false" customHeight="true" outlineLevel="0" collapsed="false">
      <c r="A34" s="20" t="s">
        <v>170</v>
      </c>
      <c r="B34" s="20"/>
      <c r="C34" s="20"/>
      <c r="D34" s="20"/>
      <c r="E34" s="20"/>
      <c r="F34" s="20"/>
      <c r="G34" s="20"/>
      <c r="H34" s="20"/>
    </row>
    <row r="35" customFormat="false" ht="31.5" hidden="false" customHeight="true" outlineLevel="0" collapsed="false">
      <c r="A35" s="14" t="n">
        <v>27</v>
      </c>
      <c r="B35" s="21" t="s">
        <v>171</v>
      </c>
      <c r="C35" s="15" t="s">
        <v>172</v>
      </c>
      <c r="D35" s="16" t="s">
        <v>173</v>
      </c>
      <c r="E35" s="22" t="s">
        <v>31</v>
      </c>
      <c r="F35" s="14" t="s">
        <v>117</v>
      </c>
      <c r="G35" s="14"/>
      <c r="H35" s="16"/>
    </row>
    <row r="36" customFormat="false" ht="31.5" hidden="false" customHeight="true" outlineLevel="0" collapsed="false">
      <c r="A36" s="14" t="n">
        <v>28</v>
      </c>
      <c r="B36" s="21" t="s">
        <v>171</v>
      </c>
      <c r="C36" s="15" t="s">
        <v>174</v>
      </c>
      <c r="D36" s="16" t="s">
        <v>175</v>
      </c>
      <c r="E36" s="23" t="s">
        <v>29</v>
      </c>
      <c r="F36" s="14" t="s">
        <v>117</v>
      </c>
      <c r="G36" s="14"/>
      <c r="H36" s="16"/>
    </row>
    <row r="37" customFormat="false" ht="31.5" hidden="false" customHeight="true" outlineLevel="0" collapsed="false">
      <c r="A37" s="14" t="n">
        <v>29</v>
      </c>
      <c r="B37" s="21" t="s">
        <v>171</v>
      </c>
      <c r="C37" s="15" t="s">
        <v>176</v>
      </c>
      <c r="D37" s="16" t="s">
        <v>177</v>
      </c>
      <c r="E37" s="24" t="s">
        <v>28</v>
      </c>
      <c r="F37" s="14" t="s">
        <v>117</v>
      </c>
      <c r="G37" s="14"/>
      <c r="H37" s="16"/>
    </row>
    <row r="38" customFormat="false" ht="31.5" hidden="false" customHeight="true" outlineLevel="0" collapsed="false">
      <c r="A38" s="14" t="n">
        <v>30</v>
      </c>
      <c r="B38" s="21" t="s">
        <v>171</v>
      </c>
      <c r="C38" s="15" t="s">
        <v>178</v>
      </c>
      <c r="D38" s="16" t="s">
        <v>179</v>
      </c>
      <c r="E38" s="24" t="s">
        <v>28</v>
      </c>
      <c r="F38" s="14" t="s">
        <v>117</v>
      </c>
      <c r="G38" s="14"/>
      <c r="H38" s="16"/>
    </row>
    <row r="39" customFormat="false" ht="31.5" hidden="false" customHeight="true" outlineLevel="0" collapsed="false">
      <c r="A39" s="14" t="n">
        <v>31</v>
      </c>
      <c r="B39" s="21" t="s">
        <v>171</v>
      </c>
      <c r="C39" s="15" t="s">
        <v>180</v>
      </c>
      <c r="D39" s="16" t="s">
        <v>181</v>
      </c>
      <c r="E39" s="24" t="s">
        <v>28</v>
      </c>
      <c r="F39" s="14" t="s">
        <v>117</v>
      </c>
      <c r="G39" s="14"/>
      <c r="H39" s="16"/>
    </row>
    <row r="40" customFormat="false" ht="31.5" hidden="false" customHeight="true" outlineLevel="0" collapsed="false">
      <c r="A40" s="14" t="n">
        <v>32</v>
      </c>
      <c r="B40" s="21" t="s">
        <v>171</v>
      </c>
      <c r="C40" s="15" t="s">
        <v>182</v>
      </c>
      <c r="D40" s="16" t="s">
        <v>183</v>
      </c>
      <c r="E40" s="23" t="s">
        <v>29</v>
      </c>
      <c r="F40" s="14" t="s">
        <v>117</v>
      </c>
      <c r="G40" s="14"/>
      <c r="H40" s="16"/>
    </row>
    <row r="41" customFormat="false" ht="31.5" hidden="false" customHeight="true" outlineLevel="0" collapsed="false">
      <c r="A41" s="14" t="n">
        <v>33</v>
      </c>
      <c r="B41" s="21" t="s">
        <v>171</v>
      </c>
      <c r="C41" s="15" t="s">
        <v>184</v>
      </c>
      <c r="D41" s="16" t="s">
        <v>185</v>
      </c>
      <c r="E41" s="22" t="s">
        <v>31</v>
      </c>
      <c r="F41" s="14" t="s">
        <v>117</v>
      </c>
      <c r="G41" s="14"/>
      <c r="H41" s="16"/>
    </row>
    <row r="42" customFormat="false" ht="31.5" hidden="false" customHeight="true" outlineLevel="0" collapsed="false">
      <c r="A42" s="14" t="n">
        <v>34</v>
      </c>
      <c r="B42" s="21" t="s">
        <v>171</v>
      </c>
      <c r="C42" s="15" t="s">
        <v>186</v>
      </c>
      <c r="D42" s="16" t="s">
        <v>187</v>
      </c>
      <c r="E42" s="22" t="s">
        <v>31</v>
      </c>
      <c r="F42" s="14" t="s">
        <v>117</v>
      </c>
      <c r="G42" s="14"/>
      <c r="H42" s="16"/>
    </row>
    <row r="43" customFormat="false" ht="30" hidden="false" customHeight="true" outlineLevel="0" collapsed="false">
      <c r="A43" s="20" t="s">
        <v>188</v>
      </c>
      <c r="B43" s="20"/>
      <c r="C43" s="20"/>
      <c r="D43" s="20"/>
      <c r="E43" s="20"/>
      <c r="F43" s="20"/>
      <c r="G43" s="20"/>
      <c r="H43" s="20"/>
    </row>
    <row r="44" customFormat="false" ht="31.5" hidden="false" customHeight="true" outlineLevel="0" collapsed="false">
      <c r="A44" s="14" t="n">
        <v>35</v>
      </c>
      <c r="B44" s="21" t="s">
        <v>189</v>
      </c>
      <c r="C44" s="15" t="s">
        <v>190</v>
      </c>
      <c r="D44" s="16" t="s">
        <v>191</v>
      </c>
      <c r="E44" s="24" t="s">
        <v>28</v>
      </c>
      <c r="F44" s="14" t="s">
        <v>117</v>
      </c>
      <c r="G44" s="14"/>
      <c r="H44" s="16"/>
    </row>
    <row r="45" customFormat="false" ht="31.5" hidden="false" customHeight="true" outlineLevel="0" collapsed="false">
      <c r="A45" s="14" t="n">
        <v>36</v>
      </c>
      <c r="B45" s="21" t="s">
        <v>189</v>
      </c>
      <c r="C45" s="15" t="s">
        <v>192</v>
      </c>
      <c r="D45" s="16" t="s">
        <v>193</v>
      </c>
      <c r="E45" s="24" t="s">
        <v>28</v>
      </c>
      <c r="F45" s="14" t="s">
        <v>117</v>
      </c>
      <c r="G45" s="14"/>
      <c r="H45" s="16"/>
    </row>
    <row r="46" customFormat="false" ht="31.5" hidden="false" customHeight="true" outlineLevel="0" collapsed="false">
      <c r="A46" s="14" t="n">
        <v>37</v>
      </c>
      <c r="B46" s="21" t="s">
        <v>189</v>
      </c>
      <c r="C46" s="15" t="s">
        <v>194</v>
      </c>
      <c r="D46" s="16" t="s">
        <v>195</v>
      </c>
      <c r="E46" s="24" t="s">
        <v>28</v>
      </c>
      <c r="F46" s="14" t="s">
        <v>117</v>
      </c>
      <c r="G46" s="14"/>
      <c r="H46" s="16"/>
    </row>
    <row r="47" customFormat="false" ht="31.5" hidden="false" customHeight="true" outlineLevel="0" collapsed="false">
      <c r="A47" s="14" t="n">
        <v>38</v>
      </c>
      <c r="B47" s="21" t="s">
        <v>189</v>
      </c>
      <c r="C47" s="15" t="s">
        <v>196</v>
      </c>
      <c r="D47" s="16" t="s">
        <v>197</v>
      </c>
      <c r="E47" s="24" t="s">
        <v>28</v>
      </c>
      <c r="F47" s="14" t="s">
        <v>117</v>
      </c>
      <c r="G47" s="14"/>
      <c r="H47" s="16"/>
    </row>
    <row r="48" customFormat="false" ht="31.5" hidden="false" customHeight="true" outlineLevel="0" collapsed="false">
      <c r="A48" s="14" t="n">
        <v>39</v>
      </c>
      <c r="B48" s="21" t="s">
        <v>189</v>
      </c>
      <c r="C48" s="15" t="s">
        <v>198</v>
      </c>
      <c r="D48" s="16" t="s">
        <v>199</v>
      </c>
      <c r="E48" s="24" t="s">
        <v>28</v>
      </c>
      <c r="F48" s="17" t="s">
        <v>114</v>
      </c>
      <c r="G48" s="14"/>
      <c r="H48" s="16"/>
    </row>
    <row r="49" customFormat="false" ht="31.5" hidden="false" customHeight="true" outlineLevel="0" collapsed="false">
      <c r="A49" s="14" t="n">
        <v>40</v>
      </c>
      <c r="B49" s="21" t="s">
        <v>189</v>
      </c>
      <c r="C49" s="15" t="s">
        <v>200</v>
      </c>
      <c r="D49" s="16" t="s">
        <v>201</v>
      </c>
      <c r="E49" s="24" t="s">
        <v>28</v>
      </c>
      <c r="F49" s="14" t="s">
        <v>117</v>
      </c>
      <c r="G49" s="14"/>
      <c r="H49" s="16"/>
    </row>
    <row r="50" customFormat="false" ht="31.5" hidden="false" customHeight="true" outlineLevel="0" collapsed="false">
      <c r="A50" s="14" t="n">
        <v>41</v>
      </c>
      <c r="B50" s="21" t="s">
        <v>189</v>
      </c>
      <c r="C50" s="15" t="s">
        <v>202</v>
      </c>
      <c r="D50" s="16" t="s">
        <v>203</v>
      </c>
      <c r="E50" s="24" t="s">
        <v>28</v>
      </c>
      <c r="F50" s="14" t="s">
        <v>117</v>
      </c>
      <c r="G50" s="14"/>
      <c r="H50" s="16"/>
    </row>
    <row r="51" customFormat="false" ht="30" hidden="false" customHeight="true" outlineLevel="0" collapsed="false">
      <c r="A51" s="20" t="s">
        <v>204</v>
      </c>
      <c r="B51" s="20"/>
      <c r="C51" s="20"/>
      <c r="D51" s="20"/>
      <c r="E51" s="20"/>
      <c r="F51" s="20"/>
      <c r="G51" s="20"/>
      <c r="H51" s="20"/>
    </row>
    <row r="52" customFormat="false" ht="31.5" hidden="false" customHeight="true" outlineLevel="0" collapsed="false">
      <c r="A52" s="14" t="n">
        <v>42</v>
      </c>
      <c r="B52" s="21" t="s">
        <v>205</v>
      </c>
      <c r="C52" s="15" t="s">
        <v>206</v>
      </c>
      <c r="D52" s="16" t="s">
        <v>207</v>
      </c>
      <c r="E52" s="24" t="s">
        <v>28</v>
      </c>
      <c r="F52" s="19" t="s">
        <v>111</v>
      </c>
      <c r="G52" s="14"/>
      <c r="H52" s="16"/>
    </row>
    <row r="53" customFormat="false" ht="31.5" hidden="false" customHeight="true" outlineLevel="0" collapsed="false">
      <c r="A53" s="14" t="n">
        <v>43</v>
      </c>
      <c r="B53" s="21" t="s">
        <v>205</v>
      </c>
      <c r="C53" s="15" t="s">
        <v>208</v>
      </c>
      <c r="D53" s="16" t="s">
        <v>209</v>
      </c>
      <c r="E53" s="24" t="s">
        <v>28</v>
      </c>
      <c r="F53" s="14" t="s">
        <v>117</v>
      </c>
      <c r="G53" s="14"/>
      <c r="H53" s="16"/>
    </row>
    <row r="54" customFormat="false" ht="31.5" hidden="false" customHeight="true" outlineLevel="0" collapsed="false">
      <c r="A54" s="14" t="n">
        <v>44</v>
      </c>
      <c r="B54" s="21" t="s">
        <v>205</v>
      </c>
      <c r="C54" s="15" t="s">
        <v>91</v>
      </c>
      <c r="D54" s="16" t="s">
        <v>210</v>
      </c>
      <c r="E54" s="24" t="s">
        <v>28</v>
      </c>
      <c r="F54" s="17" t="s">
        <v>114</v>
      </c>
      <c r="G54" s="14"/>
      <c r="H54" s="16"/>
    </row>
    <row r="55" customFormat="false" ht="31.5" hidden="false" customHeight="true" outlineLevel="0" collapsed="false">
      <c r="A55" s="14" t="n">
        <v>45</v>
      </c>
      <c r="B55" s="21" t="s">
        <v>205</v>
      </c>
      <c r="C55" s="15" t="s">
        <v>211</v>
      </c>
      <c r="D55" s="16" t="s">
        <v>212</v>
      </c>
      <c r="E55" s="24" t="s">
        <v>28</v>
      </c>
      <c r="F55" s="19" t="s">
        <v>111</v>
      </c>
      <c r="G55" s="14"/>
      <c r="H55" s="16"/>
    </row>
    <row r="56" customFormat="false" ht="31.5" hidden="false" customHeight="true" outlineLevel="0" collapsed="false">
      <c r="A56" s="14" t="n">
        <v>46</v>
      </c>
      <c r="B56" s="21" t="s">
        <v>205</v>
      </c>
      <c r="C56" s="15" t="s">
        <v>213</v>
      </c>
      <c r="D56" s="16" t="s">
        <v>214</v>
      </c>
      <c r="E56" s="24" t="s">
        <v>28</v>
      </c>
      <c r="F56" s="14" t="s">
        <v>117</v>
      </c>
      <c r="G56" s="14"/>
      <c r="H56" s="16"/>
    </row>
  </sheetData>
  <mergeCells count="9">
    <mergeCell ref="A1:H1"/>
    <mergeCell ref="A2:H2"/>
    <mergeCell ref="A4:H4"/>
    <mergeCell ref="A10:H10"/>
    <mergeCell ref="A16:H16"/>
    <mergeCell ref="A24:H24"/>
    <mergeCell ref="A34:H34"/>
    <mergeCell ref="A43:H43"/>
    <mergeCell ref="A51:H51"/>
  </mergeCells>
  <dataValidations count="1">
    <dataValidation allowBlank="true" errorStyle="stop" operator="between" showDropDown="false" showErrorMessage="false" showInputMessage="false" sqref="E5:E9 E11:E15 E17:E23 E25:E33 E35:E42 E44:E50 E52:E56" type="list">
      <formula1>"Not Started,In Progress,Waiting on Client,Complete,N/A"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B969"/>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8"/>
    <col collapsed="false" customWidth="true" hidden="false" outlineLevel="0" max="4" min="4" style="0" width="22"/>
    <col collapsed="false" customWidth="true" hidden="false" outlineLevel="0" max="5" min="5" style="0" width="32"/>
    <col collapsed="false" customWidth="true" hidden="false" outlineLevel="0" max="7" min="6" style="0" width="40"/>
    <col collapsed="false" customWidth="true" hidden="false" outlineLevel="0" max="8" min="8" style="0" width="16"/>
    <col collapsed="false" customWidth="true" hidden="false" outlineLevel="0" max="9" min="9" style="0" width="30"/>
  </cols>
  <sheetData>
    <row r="1" customFormat="false" ht="39.75" hidden="false" customHeight="true" outlineLevel="0" collapsed="false">
      <c r="A1" s="10" t="s">
        <v>215</v>
      </c>
      <c r="B1" s="10"/>
      <c r="C1" s="10"/>
      <c r="D1" s="10"/>
      <c r="E1" s="10"/>
      <c r="F1" s="10"/>
      <c r="G1" s="10"/>
      <c r="H1" s="10"/>
      <c r="I1" s="10"/>
    </row>
    <row r="2" customFormat="false" ht="27.75" hidden="false" customHeight="true" outlineLevel="0" collapsed="false">
      <c r="A2" s="11" t="s">
        <v>216</v>
      </c>
      <c r="B2" s="11"/>
      <c r="C2" s="11"/>
      <c r="D2" s="11"/>
      <c r="E2" s="11"/>
      <c r="F2" s="11"/>
      <c r="G2" s="11"/>
      <c r="H2" s="11"/>
      <c r="I2" s="11"/>
    </row>
    <row r="3" customFormat="false" ht="15" hidden="false" customHeight="false" outlineLevel="0" collapsed="false">
      <c r="A3" s="12" t="s">
        <v>35</v>
      </c>
      <c r="B3" s="12" t="s">
        <v>217</v>
      </c>
      <c r="C3" s="12" t="s">
        <v>218</v>
      </c>
      <c r="D3" s="12" t="s">
        <v>219</v>
      </c>
      <c r="E3" s="12" t="s">
        <v>220</v>
      </c>
      <c r="F3" s="12" t="s">
        <v>221</v>
      </c>
      <c r="G3" s="12" t="s">
        <v>222</v>
      </c>
      <c r="H3" s="12" t="s">
        <v>39</v>
      </c>
      <c r="I3" s="12" t="s">
        <v>106</v>
      </c>
    </row>
    <row r="4" customFormat="false" ht="30" hidden="false" customHeight="true" outlineLevel="0" collapsed="false">
      <c r="A4" s="20" t="s">
        <v>223</v>
      </c>
      <c r="B4" s="20"/>
      <c r="C4" s="20"/>
      <c r="D4" s="20"/>
      <c r="E4" s="20"/>
      <c r="F4" s="20"/>
      <c r="G4" s="20"/>
      <c r="H4" s="20"/>
      <c r="I4" s="20"/>
    </row>
    <row r="5" customFormat="false" ht="54.75" hidden="false" customHeight="true" outlineLevel="0" collapsed="false">
      <c r="A5" s="14" t="n">
        <v>1</v>
      </c>
      <c r="B5" s="15" t="s">
        <v>224</v>
      </c>
      <c r="C5" s="25" t="s">
        <v>225</v>
      </c>
      <c r="D5" s="25" t="s">
        <v>226</v>
      </c>
      <c r="E5" s="26" t="s">
        <v>227</v>
      </c>
      <c r="F5" s="16" t="s">
        <v>228</v>
      </c>
      <c r="G5" s="27" t="s">
        <v>229</v>
      </c>
      <c r="H5" s="18" t="s">
        <v>30</v>
      </c>
      <c r="I5" s="16"/>
    </row>
    <row r="6" customFormat="false" ht="30" hidden="false" customHeight="true" outlineLevel="0" collapsed="false">
      <c r="A6" s="20" t="s">
        <v>230</v>
      </c>
      <c r="B6" s="20"/>
      <c r="C6" s="20"/>
      <c r="D6" s="20"/>
      <c r="E6" s="20"/>
      <c r="F6" s="20"/>
      <c r="G6" s="20"/>
      <c r="H6" s="20"/>
      <c r="I6" s="20"/>
    </row>
    <row r="7" customFormat="false" ht="54.75" hidden="false" customHeight="true" outlineLevel="0" collapsed="false">
      <c r="A7" s="14" t="n">
        <v>2</v>
      </c>
      <c r="B7" s="15" t="s">
        <v>231</v>
      </c>
      <c r="C7" s="25" t="s">
        <v>232</v>
      </c>
      <c r="D7" s="25" t="s">
        <v>233</v>
      </c>
      <c r="E7" s="26" t="s">
        <v>234</v>
      </c>
      <c r="F7" s="16" t="s">
        <v>235</v>
      </c>
      <c r="G7" s="27" t="s">
        <v>236</v>
      </c>
      <c r="H7" s="18" t="s">
        <v>30</v>
      </c>
      <c r="I7" s="16"/>
    </row>
    <row r="8" customFormat="false" ht="54.75" hidden="false" customHeight="true" outlineLevel="0" collapsed="false">
      <c r="A8" s="14" t="n">
        <v>3</v>
      </c>
      <c r="B8" s="15" t="s">
        <v>237</v>
      </c>
      <c r="C8" s="25" t="s">
        <v>238</v>
      </c>
      <c r="D8" s="25" t="s">
        <v>239</v>
      </c>
      <c r="E8" s="26" t="s">
        <v>240</v>
      </c>
      <c r="F8" s="16" t="s">
        <v>241</v>
      </c>
      <c r="G8" s="27" t="s">
        <v>242</v>
      </c>
      <c r="H8" s="18" t="s">
        <v>30</v>
      </c>
      <c r="I8" s="16"/>
    </row>
    <row r="9" customFormat="false" ht="54.75" hidden="false" customHeight="true" outlineLevel="0" collapsed="false">
      <c r="A9" s="14" t="n">
        <v>4</v>
      </c>
      <c r="B9" s="15" t="s">
        <v>243</v>
      </c>
      <c r="C9" s="25" t="s">
        <v>244</v>
      </c>
      <c r="D9" s="25" t="s">
        <v>245</v>
      </c>
      <c r="E9" s="26" t="s">
        <v>246</v>
      </c>
      <c r="F9" s="16" t="s">
        <v>247</v>
      </c>
      <c r="G9" s="27" t="s">
        <v>248</v>
      </c>
      <c r="H9" s="18" t="s">
        <v>30</v>
      </c>
      <c r="I9" s="16"/>
    </row>
    <row r="10" customFormat="false" ht="54.75" hidden="false" customHeight="true" outlineLevel="0" collapsed="false">
      <c r="A10" s="14" t="n">
        <v>5</v>
      </c>
      <c r="B10" s="15" t="s">
        <v>249</v>
      </c>
      <c r="C10" s="25" t="s">
        <v>250</v>
      </c>
      <c r="D10" s="25" t="s">
        <v>251</v>
      </c>
      <c r="E10" s="26" t="s">
        <v>252</v>
      </c>
      <c r="F10" s="16" t="s">
        <v>253</v>
      </c>
      <c r="G10" s="27" t="s">
        <v>254</v>
      </c>
      <c r="H10" s="18" t="s">
        <v>30</v>
      </c>
      <c r="I10" s="16"/>
    </row>
    <row r="11" customFormat="false" ht="54.75" hidden="false" customHeight="true" outlineLevel="0" collapsed="false">
      <c r="A11" s="14" t="n">
        <v>6</v>
      </c>
      <c r="B11" s="15" t="s">
        <v>255</v>
      </c>
      <c r="C11" s="25" t="s">
        <v>256</v>
      </c>
      <c r="D11" s="25" t="s">
        <v>257</v>
      </c>
      <c r="E11" s="26" t="s">
        <v>258</v>
      </c>
      <c r="F11" s="16" t="s">
        <v>259</v>
      </c>
      <c r="G11" s="27" t="s">
        <v>260</v>
      </c>
      <c r="H11" s="18" t="s">
        <v>30</v>
      </c>
      <c r="I11" s="16"/>
    </row>
    <row r="12" customFormat="false" ht="54.75" hidden="false" customHeight="true" outlineLevel="0" collapsed="false">
      <c r="A12" s="14" t="n">
        <v>7</v>
      </c>
      <c r="B12" s="15" t="s">
        <v>261</v>
      </c>
      <c r="C12" s="25" t="s">
        <v>262</v>
      </c>
      <c r="D12" s="25" t="s">
        <v>263</v>
      </c>
      <c r="E12" s="26" t="s">
        <v>264</v>
      </c>
      <c r="F12" s="16" t="s">
        <v>265</v>
      </c>
      <c r="G12" s="27" t="s">
        <v>266</v>
      </c>
      <c r="H12" s="18" t="s">
        <v>30</v>
      </c>
      <c r="I12" s="16"/>
    </row>
    <row r="13" customFormat="false" ht="54.75" hidden="false" customHeight="true" outlineLevel="0" collapsed="false">
      <c r="A13" s="14" t="n">
        <v>8</v>
      </c>
      <c r="B13" s="15" t="s">
        <v>267</v>
      </c>
      <c r="C13" s="25" t="s">
        <v>268</v>
      </c>
      <c r="D13" s="25" t="s">
        <v>269</v>
      </c>
      <c r="E13" s="26" t="s">
        <v>270</v>
      </c>
      <c r="F13" s="16" t="s">
        <v>271</v>
      </c>
      <c r="G13" s="27" t="s">
        <v>272</v>
      </c>
      <c r="H13" s="18" t="s">
        <v>30</v>
      </c>
      <c r="I13" s="16"/>
    </row>
    <row r="14" customFormat="false" ht="54.75" hidden="false" customHeight="true" outlineLevel="0" collapsed="false">
      <c r="A14" s="14" t="n">
        <v>9</v>
      </c>
      <c r="B14" s="15" t="s">
        <v>273</v>
      </c>
      <c r="C14" s="25" t="s">
        <v>274</v>
      </c>
      <c r="D14" s="25" t="s">
        <v>275</v>
      </c>
      <c r="E14" s="26" t="s">
        <v>276</v>
      </c>
      <c r="F14" s="16" t="s">
        <v>277</v>
      </c>
      <c r="G14" s="27" t="s">
        <v>278</v>
      </c>
      <c r="H14" s="18" t="s">
        <v>30</v>
      </c>
      <c r="I14" s="16"/>
    </row>
    <row r="15" customFormat="false" ht="54.75" hidden="false" customHeight="true" outlineLevel="0" collapsed="false">
      <c r="A15" s="14" t="n">
        <v>10</v>
      </c>
      <c r="B15" s="15" t="s">
        <v>279</v>
      </c>
      <c r="C15" s="25" t="s">
        <v>280</v>
      </c>
      <c r="D15" s="25" t="s">
        <v>281</v>
      </c>
      <c r="E15" s="26" t="s">
        <v>282</v>
      </c>
      <c r="F15" s="16" t="s">
        <v>283</v>
      </c>
      <c r="G15" s="27" t="s">
        <v>284</v>
      </c>
      <c r="H15" s="18" t="s">
        <v>30</v>
      </c>
      <c r="I15" s="16"/>
    </row>
    <row r="16" customFormat="false" ht="54.75" hidden="false" customHeight="true" outlineLevel="0" collapsed="false">
      <c r="A16" s="14" t="n">
        <v>11</v>
      </c>
      <c r="B16" s="15" t="s">
        <v>285</v>
      </c>
      <c r="C16" s="25" t="s">
        <v>286</v>
      </c>
      <c r="D16" s="25" t="s">
        <v>287</v>
      </c>
      <c r="E16" s="26" t="s">
        <v>288</v>
      </c>
      <c r="F16" s="16" t="s">
        <v>289</v>
      </c>
      <c r="G16" s="27" t="s">
        <v>290</v>
      </c>
      <c r="H16" s="18" t="s">
        <v>30</v>
      </c>
      <c r="I16" s="16"/>
    </row>
    <row r="17" customFormat="false" ht="54.75" hidden="false" customHeight="true" outlineLevel="0" collapsed="false">
      <c r="A17" s="14" t="n">
        <v>12</v>
      </c>
      <c r="B17" s="15" t="s">
        <v>291</v>
      </c>
      <c r="C17" s="25" t="s">
        <v>292</v>
      </c>
      <c r="D17" s="25" t="s">
        <v>275</v>
      </c>
      <c r="E17" s="26" t="s">
        <v>293</v>
      </c>
      <c r="F17" s="16" t="s">
        <v>294</v>
      </c>
      <c r="G17" s="27" t="s">
        <v>295</v>
      </c>
      <c r="H17" s="18" t="s">
        <v>30</v>
      </c>
      <c r="I17" s="16"/>
    </row>
    <row r="18" customFormat="false" ht="30" hidden="false" customHeight="true" outlineLevel="0" collapsed="false">
      <c r="A18" s="20" t="s">
        <v>296</v>
      </c>
      <c r="B18" s="20"/>
      <c r="C18" s="20"/>
      <c r="D18" s="20"/>
      <c r="E18" s="20"/>
      <c r="F18" s="20"/>
      <c r="G18" s="20"/>
      <c r="H18" s="20"/>
      <c r="I18" s="20"/>
    </row>
    <row r="19" customFormat="false" ht="54.75" hidden="false" customHeight="true" outlineLevel="0" collapsed="false">
      <c r="A19" s="14" t="n">
        <v>13</v>
      </c>
      <c r="B19" s="15" t="s">
        <v>297</v>
      </c>
      <c r="C19" s="25" t="s">
        <v>298</v>
      </c>
      <c r="D19" s="25" t="s">
        <v>257</v>
      </c>
      <c r="E19" s="26" t="s">
        <v>299</v>
      </c>
      <c r="F19" s="16" t="s">
        <v>300</v>
      </c>
      <c r="G19" s="27" t="s">
        <v>301</v>
      </c>
      <c r="H19" s="18" t="s">
        <v>30</v>
      </c>
      <c r="I19" s="16"/>
    </row>
    <row r="20" customFormat="false" ht="54.75" hidden="false" customHeight="true" outlineLevel="0" collapsed="false">
      <c r="A20" s="14" t="n">
        <v>14</v>
      </c>
      <c r="B20" s="15" t="s">
        <v>302</v>
      </c>
      <c r="C20" s="25" t="s">
        <v>303</v>
      </c>
      <c r="D20" s="25" t="s">
        <v>245</v>
      </c>
      <c r="E20" s="26" t="s">
        <v>304</v>
      </c>
      <c r="F20" s="16" t="s">
        <v>305</v>
      </c>
      <c r="G20" s="27" t="s">
        <v>306</v>
      </c>
      <c r="H20" s="18" t="s">
        <v>30</v>
      </c>
      <c r="I20" s="16"/>
    </row>
    <row r="21" customFormat="false" ht="54.75" hidden="false" customHeight="true" outlineLevel="0" collapsed="false">
      <c r="A21" s="14" t="n">
        <v>15</v>
      </c>
      <c r="B21" s="15" t="s">
        <v>307</v>
      </c>
      <c r="C21" s="25" t="s">
        <v>308</v>
      </c>
      <c r="D21" s="25" t="s">
        <v>309</v>
      </c>
      <c r="E21" s="26" t="s">
        <v>310</v>
      </c>
      <c r="F21" s="16" t="s">
        <v>311</v>
      </c>
      <c r="G21" s="27" t="s">
        <v>312</v>
      </c>
      <c r="H21" s="18" t="s">
        <v>30</v>
      </c>
      <c r="I21" s="16"/>
    </row>
    <row r="22" customFormat="false" ht="54.75" hidden="false" customHeight="true" outlineLevel="0" collapsed="false">
      <c r="A22" s="14" t="n">
        <v>16</v>
      </c>
      <c r="B22" s="15" t="s">
        <v>313</v>
      </c>
      <c r="C22" s="25" t="s">
        <v>314</v>
      </c>
      <c r="D22" s="25" t="s">
        <v>315</v>
      </c>
      <c r="E22" s="26" t="s">
        <v>316</v>
      </c>
      <c r="F22" s="16" t="s">
        <v>317</v>
      </c>
      <c r="G22" s="27" t="s">
        <v>318</v>
      </c>
      <c r="H22" s="18" t="s">
        <v>30</v>
      </c>
      <c r="I22" s="16"/>
    </row>
    <row r="23" customFormat="false" ht="54.75" hidden="false" customHeight="true" outlineLevel="0" collapsed="false">
      <c r="A23" s="14" t="n">
        <v>17</v>
      </c>
      <c r="B23" s="15" t="s">
        <v>319</v>
      </c>
      <c r="C23" s="25" t="s">
        <v>320</v>
      </c>
      <c r="D23" s="25" t="s">
        <v>321</v>
      </c>
      <c r="E23" s="26" t="s">
        <v>322</v>
      </c>
      <c r="F23" s="16" t="s">
        <v>323</v>
      </c>
      <c r="G23" s="27" t="s">
        <v>324</v>
      </c>
      <c r="H23" s="18" t="s">
        <v>30</v>
      </c>
      <c r="I23" s="16"/>
    </row>
    <row r="24" customFormat="false" ht="54.75" hidden="false" customHeight="true" outlineLevel="0" collapsed="false">
      <c r="A24" s="14" t="n">
        <v>18</v>
      </c>
      <c r="B24" s="15" t="s">
        <v>325</v>
      </c>
      <c r="C24" s="25" t="s">
        <v>326</v>
      </c>
      <c r="D24" s="25" t="s">
        <v>281</v>
      </c>
      <c r="E24" s="26" t="s">
        <v>327</v>
      </c>
      <c r="F24" s="16" t="s">
        <v>328</v>
      </c>
      <c r="G24" s="27" t="s">
        <v>329</v>
      </c>
      <c r="H24" s="18" t="s">
        <v>30</v>
      </c>
      <c r="I24" s="16"/>
    </row>
    <row r="25" customFormat="false" ht="54.75" hidden="false" customHeight="true" outlineLevel="0" collapsed="false">
      <c r="A25" s="14" t="n">
        <v>19</v>
      </c>
      <c r="B25" s="15" t="s">
        <v>330</v>
      </c>
      <c r="C25" s="25" t="s">
        <v>331</v>
      </c>
      <c r="D25" s="25" t="s">
        <v>332</v>
      </c>
      <c r="E25" s="26" t="s">
        <v>333</v>
      </c>
      <c r="F25" s="16" t="s">
        <v>334</v>
      </c>
      <c r="G25" s="27" t="s">
        <v>335</v>
      </c>
      <c r="H25" s="18" t="s">
        <v>30</v>
      </c>
      <c r="I25" s="16"/>
    </row>
    <row r="26" customFormat="false" ht="54.75" hidden="false" customHeight="true" outlineLevel="0" collapsed="false">
      <c r="A26" s="14" t="n">
        <v>20</v>
      </c>
      <c r="B26" s="15" t="s">
        <v>336</v>
      </c>
      <c r="C26" s="25" t="s">
        <v>337</v>
      </c>
      <c r="D26" s="25" t="s">
        <v>338</v>
      </c>
      <c r="E26" s="26" t="s">
        <v>339</v>
      </c>
      <c r="F26" s="16" t="s">
        <v>340</v>
      </c>
      <c r="G26" s="27" t="s">
        <v>341</v>
      </c>
      <c r="H26" s="18" t="s">
        <v>30</v>
      </c>
      <c r="I26" s="16"/>
    </row>
    <row r="27" customFormat="false" ht="54.75" hidden="false" customHeight="true" outlineLevel="0" collapsed="false">
      <c r="A27" s="14" t="n">
        <v>21</v>
      </c>
      <c r="B27" s="15" t="s">
        <v>342</v>
      </c>
      <c r="C27" s="25" t="s">
        <v>343</v>
      </c>
      <c r="D27" s="25" t="s">
        <v>275</v>
      </c>
      <c r="E27" s="26" t="s">
        <v>344</v>
      </c>
      <c r="F27" s="16" t="s">
        <v>345</v>
      </c>
      <c r="G27" s="27" t="s">
        <v>346</v>
      </c>
      <c r="H27" s="18" t="s">
        <v>30</v>
      </c>
      <c r="I27" s="16"/>
    </row>
    <row r="28" customFormat="false" ht="54.75" hidden="false" customHeight="true" outlineLevel="0" collapsed="false">
      <c r="A28" s="14" t="n">
        <v>22</v>
      </c>
      <c r="B28" s="15" t="s">
        <v>347</v>
      </c>
      <c r="C28" s="25" t="s">
        <v>348</v>
      </c>
      <c r="D28" s="25" t="s">
        <v>251</v>
      </c>
      <c r="E28" s="26" t="s">
        <v>349</v>
      </c>
      <c r="F28" s="16" t="s">
        <v>350</v>
      </c>
      <c r="G28" s="27" t="s">
        <v>351</v>
      </c>
      <c r="H28" s="18" t="s">
        <v>30</v>
      </c>
      <c r="I28" s="16"/>
    </row>
    <row r="29" customFormat="false" ht="54.75" hidden="false" customHeight="true" outlineLevel="0" collapsed="false">
      <c r="A29" s="14" t="n">
        <v>23</v>
      </c>
      <c r="B29" s="15" t="s">
        <v>352</v>
      </c>
      <c r="C29" s="25" t="s">
        <v>353</v>
      </c>
      <c r="D29" s="25" t="s">
        <v>321</v>
      </c>
      <c r="E29" s="26" t="s">
        <v>354</v>
      </c>
      <c r="F29" s="16" t="s">
        <v>355</v>
      </c>
      <c r="G29" s="27" t="s">
        <v>356</v>
      </c>
      <c r="H29" s="18" t="s">
        <v>30</v>
      </c>
      <c r="I29" s="16"/>
    </row>
    <row r="30" customFormat="false" ht="54.75" hidden="false" customHeight="true" outlineLevel="0" collapsed="false">
      <c r="A30" s="14" t="n">
        <v>24</v>
      </c>
      <c r="B30" s="15" t="s">
        <v>357</v>
      </c>
      <c r="C30" s="25" t="s">
        <v>358</v>
      </c>
      <c r="D30" s="25" t="s">
        <v>281</v>
      </c>
      <c r="E30" s="26" t="s">
        <v>359</v>
      </c>
      <c r="F30" s="16" t="s">
        <v>360</v>
      </c>
      <c r="G30" s="27" t="s">
        <v>361</v>
      </c>
      <c r="H30" s="18" t="s">
        <v>30</v>
      </c>
      <c r="I30" s="16"/>
    </row>
    <row r="31" customFormat="false" ht="54.75" hidden="false" customHeight="true" outlineLevel="0" collapsed="false">
      <c r="A31" s="14" t="n">
        <v>25</v>
      </c>
      <c r="B31" s="15" t="s">
        <v>362</v>
      </c>
      <c r="C31" s="25" t="s">
        <v>363</v>
      </c>
      <c r="D31" s="25" t="s">
        <v>251</v>
      </c>
      <c r="E31" s="26" t="s">
        <v>364</v>
      </c>
      <c r="F31" s="16" t="s">
        <v>365</v>
      </c>
      <c r="G31" s="27" t="s">
        <v>366</v>
      </c>
      <c r="H31" s="18" t="s">
        <v>30</v>
      </c>
      <c r="I31" s="16"/>
    </row>
    <row r="32" customFormat="false" ht="54.75" hidden="false" customHeight="true" outlineLevel="0" collapsed="false">
      <c r="A32" s="14" t="n">
        <v>26</v>
      </c>
      <c r="B32" s="15" t="s">
        <v>367</v>
      </c>
      <c r="C32" s="25" t="s">
        <v>368</v>
      </c>
      <c r="D32" s="25" t="s">
        <v>281</v>
      </c>
      <c r="E32" s="26" t="s">
        <v>369</v>
      </c>
      <c r="F32" s="16" t="s">
        <v>370</v>
      </c>
      <c r="G32" s="27" t="s">
        <v>371</v>
      </c>
      <c r="H32" s="18" t="s">
        <v>30</v>
      </c>
      <c r="I32" s="16"/>
    </row>
    <row r="33" customFormat="false" ht="54.75" hidden="false" customHeight="true" outlineLevel="0" collapsed="false">
      <c r="A33" s="14" t="n">
        <v>27</v>
      </c>
      <c r="B33" s="15" t="s">
        <v>372</v>
      </c>
      <c r="C33" s="25" t="s">
        <v>373</v>
      </c>
      <c r="D33" s="25" t="s">
        <v>374</v>
      </c>
      <c r="E33" s="26" t="s">
        <v>375</v>
      </c>
      <c r="F33" s="16" t="s">
        <v>376</v>
      </c>
      <c r="G33" s="27" t="s">
        <v>377</v>
      </c>
      <c r="H33" s="18" t="s">
        <v>30</v>
      </c>
      <c r="I33" s="16"/>
    </row>
    <row r="34" customFormat="false" ht="54.75" hidden="false" customHeight="true" outlineLevel="0" collapsed="false">
      <c r="A34" s="14" t="n">
        <v>28</v>
      </c>
      <c r="B34" s="15" t="s">
        <v>378</v>
      </c>
      <c r="C34" s="25" t="s">
        <v>379</v>
      </c>
      <c r="D34" s="25" t="s">
        <v>380</v>
      </c>
      <c r="E34" s="26" t="s">
        <v>381</v>
      </c>
      <c r="F34" s="16" t="s">
        <v>382</v>
      </c>
      <c r="G34" s="27" t="s">
        <v>383</v>
      </c>
      <c r="H34" s="18" t="s">
        <v>30</v>
      </c>
      <c r="I34" s="16"/>
    </row>
    <row r="35" customFormat="false" ht="30" hidden="false" customHeight="true" outlineLevel="0" collapsed="false">
      <c r="A35" s="20" t="s">
        <v>384</v>
      </c>
      <c r="B35" s="20"/>
      <c r="C35" s="20"/>
      <c r="D35" s="20"/>
      <c r="E35" s="20"/>
      <c r="F35" s="20"/>
      <c r="G35" s="20"/>
      <c r="H35" s="20"/>
      <c r="I35" s="20"/>
    </row>
    <row r="36" customFormat="false" ht="54.75" hidden="false" customHeight="true" outlineLevel="0" collapsed="false">
      <c r="A36" s="14" t="n">
        <v>29</v>
      </c>
      <c r="B36" s="15" t="s">
        <v>385</v>
      </c>
      <c r="C36" s="25" t="s">
        <v>386</v>
      </c>
      <c r="D36" s="25" t="s">
        <v>233</v>
      </c>
      <c r="E36" s="26" t="s">
        <v>387</v>
      </c>
      <c r="F36" s="16" t="s">
        <v>388</v>
      </c>
      <c r="G36" s="27" t="s">
        <v>389</v>
      </c>
      <c r="H36" s="18" t="s">
        <v>30</v>
      </c>
      <c r="I36" s="16"/>
    </row>
    <row r="37" customFormat="false" ht="54.75" hidden="false" customHeight="true" outlineLevel="0" collapsed="false">
      <c r="A37" s="14" t="n">
        <v>30</v>
      </c>
      <c r="B37" s="15" t="s">
        <v>390</v>
      </c>
      <c r="C37" s="25" t="s">
        <v>391</v>
      </c>
      <c r="D37" s="25" t="s">
        <v>251</v>
      </c>
      <c r="E37" s="26" t="s">
        <v>392</v>
      </c>
      <c r="F37" s="16" t="s">
        <v>393</v>
      </c>
      <c r="G37" s="27" t="s">
        <v>394</v>
      </c>
      <c r="H37" s="18" t="s">
        <v>30</v>
      </c>
      <c r="I37" s="16"/>
    </row>
    <row r="38" customFormat="false" ht="54.75" hidden="false" customHeight="true" outlineLevel="0" collapsed="false">
      <c r="A38" s="14" t="n">
        <v>31</v>
      </c>
      <c r="B38" s="15" t="s">
        <v>395</v>
      </c>
      <c r="C38" s="25" t="s">
        <v>396</v>
      </c>
      <c r="D38" s="25" t="s">
        <v>397</v>
      </c>
      <c r="E38" s="26" t="s">
        <v>398</v>
      </c>
      <c r="F38" s="16" t="s">
        <v>399</v>
      </c>
      <c r="G38" s="27" t="s">
        <v>400</v>
      </c>
      <c r="H38" s="18" t="s">
        <v>30</v>
      </c>
      <c r="I38" s="16"/>
    </row>
    <row r="39" customFormat="false" ht="54.75" hidden="false" customHeight="true" outlineLevel="0" collapsed="false">
      <c r="A39" s="14" t="n">
        <v>32</v>
      </c>
      <c r="B39" s="15" t="s">
        <v>401</v>
      </c>
      <c r="C39" s="25" t="s">
        <v>402</v>
      </c>
      <c r="D39" s="25" t="s">
        <v>397</v>
      </c>
      <c r="E39" s="26" t="s">
        <v>403</v>
      </c>
      <c r="F39" s="16" t="s">
        <v>404</v>
      </c>
      <c r="G39" s="27" t="s">
        <v>405</v>
      </c>
      <c r="H39" s="18" t="s">
        <v>30</v>
      </c>
      <c r="I39" s="16"/>
    </row>
    <row r="40" customFormat="false" ht="54.75" hidden="false" customHeight="true" outlineLevel="0" collapsed="false">
      <c r="A40" s="14" t="n">
        <v>33</v>
      </c>
      <c r="B40" s="15" t="s">
        <v>406</v>
      </c>
      <c r="C40" s="25" t="s">
        <v>407</v>
      </c>
      <c r="D40" s="25" t="s">
        <v>408</v>
      </c>
      <c r="E40" s="26" t="s">
        <v>409</v>
      </c>
      <c r="F40" s="16" t="s">
        <v>410</v>
      </c>
      <c r="G40" s="27" t="s">
        <v>411</v>
      </c>
      <c r="H40" s="18" t="s">
        <v>30</v>
      </c>
      <c r="I40" s="16"/>
    </row>
    <row r="41" customFormat="false" ht="30" hidden="false" customHeight="true" outlineLevel="0" collapsed="false">
      <c r="A41" s="20" t="s">
        <v>412</v>
      </c>
      <c r="B41" s="20"/>
      <c r="C41" s="20"/>
      <c r="D41" s="20"/>
      <c r="E41" s="20"/>
      <c r="F41" s="20"/>
      <c r="G41" s="20"/>
      <c r="H41" s="20"/>
      <c r="I41" s="20"/>
    </row>
    <row r="42" customFormat="false" ht="54.75" hidden="false" customHeight="true" outlineLevel="0" collapsed="false">
      <c r="A42" s="14" t="n">
        <v>34</v>
      </c>
      <c r="B42" s="15" t="s">
        <v>413</v>
      </c>
      <c r="C42" s="25" t="s">
        <v>414</v>
      </c>
      <c r="D42" s="25" t="s">
        <v>408</v>
      </c>
      <c r="E42" s="26" t="s">
        <v>415</v>
      </c>
      <c r="F42" s="16" t="s">
        <v>416</v>
      </c>
      <c r="G42" s="27" t="s">
        <v>417</v>
      </c>
      <c r="H42" s="18" t="s">
        <v>30</v>
      </c>
      <c r="I42" s="16"/>
    </row>
    <row r="43" customFormat="false" ht="30" hidden="false" customHeight="true" outlineLevel="0" collapsed="false">
      <c r="A43" s="20" t="s">
        <v>418</v>
      </c>
      <c r="B43" s="20"/>
      <c r="C43" s="20"/>
      <c r="D43" s="20"/>
      <c r="E43" s="20"/>
      <c r="F43" s="20"/>
      <c r="G43" s="20"/>
      <c r="H43" s="20"/>
      <c r="I43" s="20"/>
    </row>
    <row r="44" customFormat="false" ht="54.75" hidden="false" customHeight="true" outlineLevel="0" collapsed="false">
      <c r="A44" s="14" t="n">
        <v>35</v>
      </c>
      <c r="B44" s="15" t="s">
        <v>419</v>
      </c>
      <c r="C44" s="25" t="s">
        <v>420</v>
      </c>
      <c r="D44" s="25" t="s">
        <v>421</v>
      </c>
      <c r="E44" s="26" t="s">
        <v>422</v>
      </c>
      <c r="F44" s="16" t="s">
        <v>423</v>
      </c>
      <c r="G44" s="27" t="s">
        <v>424</v>
      </c>
      <c r="H44" s="18" t="s">
        <v>30</v>
      </c>
      <c r="I44" s="16"/>
    </row>
    <row r="45" customFormat="false" ht="54.75" hidden="false" customHeight="true" outlineLevel="0" collapsed="false">
      <c r="A45" s="14" t="n">
        <v>36</v>
      </c>
      <c r="B45" s="15" t="s">
        <v>425</v>
      </c>
      <c r="C45" s="25" t="s">
        <v>426</v>
      </c>
      <c r="D45" s="25" t="s">
        <v>427</v>
      </c>
      <c r="E45" s="26" t="s">
        <v>428</v>
      </c>
      <c r="F45" s="16" t="s">
        <v>429</v>
      </c>
      <c r="G45" s="27" t="s">
        <v>430</v>
      </c>
      <c r="H45" s="18" t="s">
        <v>30</v>
      </c>
      <c r="I45" s="16"/>
    </row>
    <row r="46" customFormat="false" ht="54.75" hidden="false" customHeight="true" outlineLevel="0" collapsed="false">
      <c r="A46" s="14" t="n">
        <v>37</v>
      </c>
      <c r="B46" s="15" t="s">
        <v>431</v>
      </c>
      <c r="C46" s="25" t="s">
        <v>432</v>
      </c>
      <c r="D46" s="25" t="s">
        <v>433</v>
      </c>
      <c r="E46" s="26" t="s">
        <v>434</v>
      </c>
      <c r="F46" s="16" t="s">
        <v>435</v>
      </c>
      <c r="G46" s="27" t="s">
        <v>436</v>
      </c>
      <c r="H46" s="18" t="s">
        <v>30</v>
      </c>
      <c r="I46" s="16"/>
    </row>
    <row r="47" customFormat="false" ht="54.75" hidden="false" customHeight="true" outlineLevel="0" collapsed="false">
      <c r="A47" s="14" t="n">
        <v>38</v>
      </c>
      <c r="B47" s="15" t="s">
        <v>437</v>
      </c>
      <c r="C47" s="25" t="s">
        <v>420</v>
      </c>
      <c r="D47" s="25" t="s">
        <v>438</v>
      </c>
      <c r="E47" s="26" t="s">
        <v>439</v>
      </c>
      <c r="F47" s="16" t="s">
        <v>440</v>
      </c>
      <c r="G47" s="27" t="s">
        <v>441</v>
      </c>
      <c r="H47" s="18" t="s">
        <v>30</v>
      </c>
      <c r="I47" s="16"/>
    </row>
  </sheetData>
  <mergeCells count="8">
    <mergeCell ref="A1:I1"/>
    <mergeCell ref="A2:I2"/>
    <mergeCell ref="A4:I4"/>
    <mergeCell ref="A6:I6"/>
    <mergeCell ref="A18:I18"/>
    <mergeCell ref="A35:I35"/>
    <mergeCell ref="A41:I41"/>
    <mergeCell ref="A43:I43"/>
  </mergeCells>
  <dataValidations count="1">
    <dataValidation allowBlank="true" errorStyle="stop" operator="between" showDropDown="false" showErrorMessage="false" showInputMessage="false" sqref="H5 H7:H17 H19:H34 H36:H40 H42 H44:H47" type="list">
      <formula1>"Not Started,In Progress,Waiting on Client,Complete,N/A"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060"/>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50"/>
  </cols>
  <sheetData>
    <row r="1" customFormat="false" ht="39.75" hidden="false" customHeight="true" outlineLevel="0" collapsed="false">
      <c r="A1" s="10" t="s">
        <v>442</v>
      </c>
      <c r="B1" s="10"/>
      <c r="C1" s="10"/>
    </row>
    <row r="2" customFormat="false" ht="27.75" hidden="false" customHeight="true" outlineLevel="0" collapsed="false">
      <c r="A2" s="11" t="s">
        <v>443</v>
      </c>
      <c r="B2" s="11"/>
      <c r="C2" s="11"/>
    </row>
    <row r="3" customFormat="false" ht="15" hidden="false" customHeight="false" outlineLevel="0" collapsed="false">
      <c r="A3" s="12" t="s">
        <v>444</v>
      </c>
      <c r="B3" s="12" t="s">
        <v>445</v>
      </c>
      <c r="C3" s="12" t="s">
        <v>446</v>
      </c>
    </row>
    <row r="4" customFormat="false" ht="30" hidden="false" customHeight="true" outlineLevel="0" collapsed="false">
      <c r="A4" s="20" t="s">
        <v>447</v>
      </c>
      <c r="B4" s="20"/>
      <c r="C4" s="20"/>
    </row>
    <row r="5" customFormat="false" ht="64.5" hidden="false" customHeight="true" outlineLevel="0" collapsed="false">
      <c r="A5" s="15" t="s">
        <v>448</v>
      </c>
      <c r="B5" s="16" t="s">
        <v>449</v>
      </c>
      <c r="C5" s="28" t="s">
        <v>450</v>
      </c>
    </row>
    <row r="6" customFormat="false" ht="64.5" hidden="false" customHeight="true" outlineLevel="0" collapsed="false">
      <c r="A6" s="15" t="s">
        <v>451</v>
      </c>
      <c r="B6" s="16" t="s">
        <v>452</v>
      </c>
      <c r="C6" s="28" t="s">
        <v>453</v>
      </c>
    </row>
    <row r="7" customFormat="false" ht="64.5" hidden="false" customHeight="true" outlineLevel="0" collapsed="false">
      <c r="A7" s="15" t="s">
        <v>454</v>
      </c>
      <c r="B7" s="16" t="s">
        <v>455</v>
      </c>
      <c r="C7" s="28" t="s">
        <v>456</v>
      </c>
    </row>
    <row r="8" customFormat="false" ht="64.5" hidden="false" customHeight="true" outlineLevel="0" collapsed="false">
      <c r="A8" s="15" t="s">
        <v>457</v>
      </c>
      <c r="B8" s="16" t="s">
        <v>458</v>
      </c>
      <c r="C8" s="28" t="s">
        <v>459</v>
      </c>
    </row>
    <row r="9" customFormat="false" ht="64.5" hidden="false" customHeight="true" outlineLevel="0" collapsed="false">
      <c r="A9" s="15" t="s">
        <v>460</v>
      </c>
      <c r="B9" s="16" t="s">
        <v>461</v>
      </c>
      <c r="C9" s="28" t="s">
        <v>462</v>
      </c>
    </row>
    <row r="10" customFormat="false" ht="64.5" hidden="false" customHeight="true" outlineLevel="0" collapsed="false">
      <c r="A10" s="15" t="s">
        <v>463</v>
      </c>
      <c r="B10" s="16" t="s">
        <v>464</v>
      </c>
      <c r="C10" s="28" t="s">
        <v>465</v>
      </c>
    </row>
    <row r="11" customFormat="false" ht="30" hidden="false" customHeight="true" outlineLevel="0" collapsed="false">
      <c r="A11" s="20" t="s">
        <v>466</v>
      </c>
      <c r="B11" s="20"/>
      <c r="C11" s="20"/>
    </row>
    <row r="12" customFormat="false" ht="64.5" hidden="false" customHeight="true" outlineLevel="0" collapsed="false">
      <c r="A12" s="15" t="s">
        <v>467</v>
      </c>
      <c r="B12" s="16" t="s">
        <v>468</v>
      </c>
      <c r="C12" s="28" t="s">
        <v>469</v>
      </c>
    </row>
    <row r="13" customFormat="false" ht="64.5" hidden="false" customHeight="true" outlineLevel="0" collapsed="false">
      <c r="A13" s="15" t="s">
        <v>470</v>
      </c>
      <c r="B13" s="16" t="s">
        <v>471</v>
      </c>
      <c r="C13" s="28" t="s">
        <v>472</v>
      </c>
    </row>
    <row r="14" customFormat="false" ht="64.5" hidden="false" customHeight="true" outlineLevel="0" collapsed="false">
      <c r="A14" s="15" t="s">
        <v>473</v>
      </c>
      <c r="B14" s="16" t="s">
        <v>474</v>
      </c>
      <c r="C14" s="28" t="s">
        <v>475</v>
      </c>
    </row>
    <row r="15" customFormat="false" ht="64.5" hidden="false" customHeight="true" outlineLevel="0" collapsed="false">
      <c r="A15" s="15" t="s">
        <v>476</v>
      </c>
      <c r="B15" s="16" t="s">
        <v>477</v>
      </c>
      <c r="C15" s="28" t="s">
        <v>478</v>
      </c>
    </row>
    <row r="16" customFormat="false" ht="64.5" hidden="false" customHeight="true" outlineLevel="0" collapsed="false">
      <c r="A16" s="15" t="s">
        <v>479</v>
      </c>
      <c r="B16" s="16" t="s">
        <v>480</v>
      </c>
      <c r="C16" s="28" t="s">
        <v>481</v>
      </c>
    </row>
    <row r="17" customFormat="false" ht="30" hidden="false" customHeight="true" outlineLevel="0" collapsed="false">
      <c r="A17" s="20" t="s">
        <v>482</v>
      </c>
      <c r="B17" s="20"/>
      <c r="C17" s="20"/>
    </row>
    <row r="18" customFormat="false" ht="64.5" hidden="false" customHeight="true" outlineLevel="0" collapsed="false">
      <c r="A18" s="15" t="s">
        <v>483</v>
      </c>
      <c r="B18" s="16" t="s">
        <v>484</v>
      </c>
      <c r="C18" s="28" t="s">
        <v>485</v>
      </c>
    </row>
    <row r="19" customFormat="false" ht="64.5" hidden="false" customHeight="true" outlineLevel="0" collapsed="false">
      <c r="A19" s="15" t="s">
        <v>486</v>
      </c>
      <c r="B19" s="16" t="s">
        <v>487</v>
      </c>
      <c r="C19" s="28" t="s">
        <v>488</v>
      </c>
    </row>
    <row r="20" customFormat="false" ht="64.5" hidden="false" customHeight="true" outlineLevel="0" collapsed="false">
      <c r="A20" s="15" t="s">
        <v>489</v>
      </c>
      <c r="B20" s="16" t="s">
        <v>490</v>
      </c>
      <c r="C20" s="28" t="s">
        <v>491</v>
      </c>
    </row>
    <row r="21" customFormat="false" ht="64.5" hidden="false" customHeight="true" outlineLevel="0" collapsed="false">
      <c r="A21" s="15" t="s">
        <v>492</v>
      </c>
      <c r="B21" s="16" t="s">
        <v>493</v>
      </c>
      <c r="C21" s="28" t="s">
        <v>494</v>
      </c>
    </row>
    <row r="22" customFormat="false" ht="64.5" hidden="false" customHeight="true" outlineLevel="0" collapsed="false">
      <c r="A22" s="15" t="s">
        <v>495</v>
      </c>
      <c r="B22" s="16" t="s">
        <v>496</v>
      </c>
      <c r="C22" s="28" t="s">
        <v>497</v>
      </c>
    </row>
    <row r="23" customFormat="false" ht="30" hidden="false" customHeight="true" outlineLevel="0" collapsed="false">
      <c r="A23" s="20" t="s">
        <v>498</v>
      </c>
      <c r="B23" s="20"/>
      <c r="C23" s="20"/>
    </row>
    <row r="24" customFormat="false" ht="64.5" hidden="false" customHeight="true" outlineLevel="0" collapsed="false">
      <c r="A24" s="15" t="s">
        <v>499</v>
      </c>
      <c r="B24" s="16" t="s">
        <v>500</v>
      </c>
      <c r="C24" s="28" t="s">
        <v>501</v>
      </c>
    </row>
    <row r="25" customFormat="false" ht="64.5" hidden="false" customHeight="true" outlineLevel="0" collapsed="false">
      <c r="A25" s="15" t="s">
        <v>502</v>
      </c>
      <c r="B25" s="16" t="s">
        <v>503</v>
      </c>
      <c r="C25" s="28" t="s">
        <v>504</v>
      </c>
    </row>
    <row r="26" customFormat="false" ht="64.5" hidden="false" customHeight="true" outlineLevel="0" collapsed="false">
      <c r="A26" s="15" t="s">
        <v>505</v>
      </c>
      <c r="B26" s="16" t="s">
        <v>506</v>
      </c>
      <c r="C26" s="28" t="s">
        <v>507</v>
      </c>
    </row>
    <row r="27" customFormat="false" ht="64.5" hidden="false" customHeight="true" outlineLevel="0" collapsed="false">
      <c r="A27" s="15" t="s">
        <v>508</v>
      </c>
      <c r="B27" s="16" t="s">
        <v>509</v>
      </c>
      <c r="C27" s="28" t="s">
        <v>510</v>
      </c>
    </row>
    <row r="28" customFormat="false" ht="30" hidden="false" customHeight="true" outlineLevel="0" collapsed="false">
      <c r="A28" s="20" t="s">
        <v>511</v>
      </c>
      <c r="B28" s="20"/>
      <c r="C28" s="20"/>
    </row>
    <row r="29" customFormat="false" ht="64.5" hidden="false" customHeight="true" outlineLevel="0" collapsed="false">
      <c r="A29" s="15" t="s">
        <v>512</v>
      </c>
      <c r="B29" s="16" t="s">
        <v>513</v>
      </c>
      <c r="C29" s="28" t="s">
        <v>514</v>
      </c>
    </row>
    <row r="30" customFormat="false" ht="64.5" hidden="false" customHeight="true" outlineLevel="0" collapsed="false">
      <c r="A30" s="15" t="s">
        <v>515</v>
      </c>
      <c r="B30" s="16" t="s">
        <v>516</v>
      </c>
      <c r="C30" s="28" t="s">
        <v>517</v>
      </c>
    </row>
    <row r="31" customFormat="false" ht="64.5" hidden="false" customHeight="true" outlineLevel="0" collapsed="false">
      <c r="A31" s="15" t="s">
        <v>518</v>
      </c>
      <c r="B31" s="16" t="s">
        <v>519</v>
      </c>
      <c r="C31" s="28" t="s">
        <v>520</v>
      </c>
    </row>
    <row r="32" customFormat="false" ht="64.5" hidden="false" customHeight="true" outlineLevel="0" collapsed="false">
      <c r="A32" s="15" t="s">
        <v>521</v>
      </c>
      <c r="B32" s="16" t="s">
        <v>522</v>
      </c>
      <c r="C32" s="28" t="s">
        <v>523</v>
      </c>
    </row>
    <row r="33" customFormat="false" ht="64.5" hidden="false" customHeight="true" outlineLevel="0" collapsed="false">
      <c r="A33" s="15" t="s">
        <v>524</v>
      </c>
      <c r="B33" s="16" t="s">
        <v>525</v>
      </c>
      <c r="C33" s="28" t="s">
        <v>526</v>
      </c>
    </row>
  </sheetData>
  <mergeCells count="7">
    <mergeCell ref="A1:C1"/>
    <mergeCell ref="A2:C2"/>
    <mergeCell ref="A4:C4"/>
    <mergeCell ref="A11:C11"/>
    <mergeCell ref="A17:C17"/>
    <mergeCell ref="A23:C23"/>
    <mergeCell ref="A28:C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4" min="2" style="0" width="15"/>
  </cols>
  <sheetData>
    <row r="1" customFormat="false" ht="39.75" hidden="false" customHeight="true" outlineLevel="0" collapsed="false">
      <c r="A1" s="10" t="s">
        <v>527</v>
      </c>
      <c r="B1" s="10"/>
      <c r="C1" s="10"/>
      <c r="D1" s="10"/>
    </row>
    <row r="2" customFormat="false" ht="15" hidden="false" customHeight="false" outlineLevel="0" collapsed="false">
      <c r="A2" s="29"/>
      <c r="B2" s="29" t="s">
        <v>528</v>
      </c>
      <c r="C2" s="29" t="s">
        <v>529</v>
      </c>
    </row>
    <row r="3" customFormat="false" ht="17.35" hidden="false" customHeight="false" outlineLevel="0" collapsed="false">
      <c r="A3" s="30" t="s">
        <v>530</v>
      </c>
      <c r="B3" s="31" t="n">
        <f aca="false">COUNTA('Project Phases'!C4:C100)</f>
        <v>46</v>
      </c>
      <c r="C3" s="32"/>
    </row>
    <row r="4" customFormat="false" ht="17.35" hidden="false" customHeight="false" outlineLevel="0" collapsed="false">
      <c r="A4" s="33" t="s">
        <v>31</v>
      </c>
      <c r="B4" s="34" t="n">
        <f aca="false">COUNTIF('Project Phases'!E4:E100,"Complete")</f>
        <v>17</v>
      </c>
      <c r="C4" s="35" t="n">
        <f aca="false">IF(B3&gt;0,B4/B3,"")</f>
        <v>0.369565217391304</v>
      </c>
    </row>
    <row r="5" customFormat="false" ht="17.35" hidden="false" customHeight="false" outlineLevel="0" collapsed="false">
      <c r="A5" s="36" t="s">
        <v>29</v>
      </c>
      <c r="B5" s="37" t="n">
        <f aca="false">COUNTIF('Project Phases'!E4:E100,"In Progress")</f>
        <v>11</v>
      </c>
      <c r="C5" s="38" t="n">
        <f aca="false">IF(B3&gt;0,B5/B3,"")</f>
        <v>0.239130434782609</v>
      </c>
    </row>
    <row r="6" customFormat="false" ht="17.35" hidden="false" customHeight="false" outlineLevel="0" collapsed="false">
      <c r="A6" s="39" t="s">
        <v>30</v>
      </c>
      <c r="B6" s="40" t="n">
        <f aca="false">COUNTIF('Project Phases'!E4:E100,"Waiting on Client")</f>
        <v>2</v>
      </c>
      <c r="C6" s="41" t="n">
        <f aca="false">IF(B3&gt;0,B6/B3,"")</f>
        <v>0.0434782608695652</v>
      </c>
    </row>
    <row r="7" customFormat="false" ht="17.35" hidden="false" customHeight="false" outlineLevel="0" collapsed="false">
      <c r="A7" s="42" t="s">
        <v>28</v>
      </c>
      <c r="B7" s="43" t="n">
        <f aca="false">COUNTIF('Project Phases'!E4:E100,"Not Started")</f>
        <v>16</v>
      </c>
      <c r="C7" s="44" t="n">
        <f aca="false">IF(B3&gt;0,B7/B3,"")</f>
        <v>0.347826086956522</v>
      </c>
    </row>
    <row r="10" customFormat="false" ht="15" hidden="false" customHeight="true" outlineLevel="0" collapsed="false">
      <c r="A10" s="45" t="s">
        <v>531</v>
      </c>
      <c r="B10" s="45"/>
      <c r="C10" s="45"/>
    </row>
    <row r="11" customFormat="false" ht="15" hidden="false" customHeight="false" outlineLevel="0" collapsed="false">
      <c r="A11" s="29"/>
      <c r="B11" s="29" t="s">
        <v>528</v>
      </c>
      <c r="C11" s="29" t="s">
        <v>529</v>
      </c>
    </row>
    <row r="12" customFormat="false" ht="17.35" hidden="false" customHeight="false" outlineLevel="0" collapsed="false">
      <c r="A12" s="30" t="s">
        <v>532</v>
      </c>
      <c r="B12" s="31" t="n">
        <f aca="false">COUNTA('What I Need From You'!B4:B100)</f>
        <v>25</v>
      </c>
      <c r="C12" s="32"/>
    </row>
    <row r="13" customFormat="false" ht="17.35" hidden="false" customHeight="false" outlineLevel="0" collapsed="false">
      <c r="A13" s="30" t="s">
        <v>533</v>
      </c>
      <c r="B13" s="31" t="n">
        <f aca="false">COUNTIF('What I Need From You'!E4:E100,"Complete")</f>
        <v>0</v>
      </c>
      <c r="C13" s="46" t="n">
        <f aca="false">IF(B12&gt;0,B13/B12,"")</f>
        <v>0</v>
      </c>
    </row>
    <row r="14" customFormat="false" ht="17.35" hidden="false" customHeight="false" outlineLevel="0" collapsed="false">
      <c r="A14" s="30" t="s">
        <v>534</v>
      </c>
      <c r="B14" s="31" t="n">
        <f aca="false">COUNTIF('What I Need From You'!E4:E100,"Waiting on Client")</f>
        <v>25</v>
      </c>
      <c r="C14" s="46" t="n">
        <f aca="false">IF(B12&gt;0,B14/B12,"")</f>
        <v>1</v>
      </c>
    </row>
    <row r="17" customFormat="false" ht="15" hidden="false" customHeight="true" outlineLevel="0" collapsed="false">
      <c r="A17" s="45" t="s">
        <v>535</v>
      </c>
      <c r="B17" s="45"/>
      <c r="C17" s="45"/>
    </row>
    <row r="18" customFormat="false" ht="15" hidden="false" customHeight="false" outlineLevel="0" collapsed="false">
      <c r="A18" s="29"/>
      <c r="B18" s="29" t="s">
        <v>528</v>
      </c>
      <c r="C18" s="29" t="s">
        <v>529</v>
      </c>
    </row>
    <row r="19" customFormat="false" ht="17.35" hidden="false" customHeight="false" outlineLevel="0" collapsed="false">
      <c r="A19" s="30" t="s">
        <v>536</v>
      </c>
      <c r="B19" s="31" t="n">
        <f aca="false">COUNTA('Page Photos &amp; Content'!B4:B200)</f>
        <v>38</v>
      </c>
      <c r="C19" s="32"/>
    </row>
    <row r="20" customFormat="false" ht="17.35" hidden="false" customHeight="false" outlineLevel="0" collapsed="false">
      <c r="A20" s="33" t="s">
        <v>31</v>
      </c>
      <c r="B20" s="34" t="n">
        <f aca="false">COUNTIF('Page Photos &amp; Content'!H4:H200,"Complete")</f>
        <v>0</v>
      </c>
      <c r="C20" s="35" t="n">
        <f aca="false">IF(B19&gt;0,B20/B19,"")</f>
        <v>0</v>
      </c>
    </row>
    <row r="21" customFormat="false" ht="17.35" hidden="false" customHeight="false" outlineLevel="0" collapsed="false">
      <c r="A21" s="39" t="s">
        <v>30</v>
      </c>
      <c r="B21" s="40" t="n">
        <f aca="false">COUNTIF('Page Photos &amp; Content'!H4:H200,"Waiting on Client")</f>
        <v>38</v>
      </c>
      <c r="C21" s="41" t="n">
        <f aca="false">IF(B19&gt;0,B21/B19,"")</f>
        <v>1</v>
      </c>
    </row>
    <row r="22" customFormat="false" ht="17.35" hidden="false" customHeight="false" outlineLevel="0" collapsed="false">
      <c r="A22" s="36" t="s">
        <v>29</v>
      </c>
      <c r="B22" s="37" t="n">
        <f aca="false">COUNTIF('Page Photos &amp; Content'!H4:H200,"In Progress")</f>
        <v>0</v>
      </c>
      <c r="C22" s="38" t="n">
        <f aca="false">IF(B19&gt;0,B22/B19,"")</f>
        <v>0</v>
      </c>
    </row>
  </sheetData>
  <mergeCells count="3">
    <mergeCell ref="A1:D1"/>
    <mergeCell ref="A10:C10"/>
    <mergeCell ref="A17:C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2026-03-11T20:05:12Z</dcterms:created>
  <dc:creator>openpyxl</dc:creator>
  <dc:description/>
  <dc:language>en-US</dc:language>
  <cp:lastModifiedBy/>
  <dcterms:modified xsi:type="dcterms:W3CDTF">2026-03-11T20:05:12Z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